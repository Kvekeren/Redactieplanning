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koen/Documents/"/>
    </mc:Choice>
  </mc:AlternateContent>
  <xr:revisionPtr revIDLastSave="0" documentId="13_ncr:1_{3403D2FE-0C07-F544-83CE-7D41B4E5D44B}" xr6:coauthVersionLast="47" xr6:coauthVersionMax="47" xr10:uidLastSave="{00000000-0000-0000-0000-000000000000}"/>
  <bookViews>
    <workbookView xWindow="5480" yWindow="2360" windowWidth="27840" windowHeight="16740" xr2:uid="{49508F61-F333-D14E-9A0A-0C9CFB376219}"/>
  </bookViews>
  <sheets>
    <sheet name="Website 2026"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7" i="2" l="1"/>
  <c r="C135" i="2" s="1"/>
  <c r="C143" i="2" s="1"/>
  <c r="C151" i="2" s="1"/>
  <c r="C159" i="2" s="1"/>
  <c r="C167" i="2" s="1"/>
  <c r="C175" i="2" s="1"/>
  <c r="C183" i="2" s="1"/>
  <c r="C191" i="2" s="1"/>
  <c r="C199" i="2" s="1"/>
  <c r="C207" i="2" s="1"/>
  <c r="C215" i="2" s="1"/>
  <c r="C223" i="2" s="1"/>
  <c r="C231" i="2" s="1"/>
  <c r="C239" i="2" s="1"/>
  <c r="C247" i="2" s="1"/>
  <c r="C255" i="2" s="1"/>
  <c r="C263" i="2" s="1"/>
  <c r="C271" i="2" s="1"/>
  <c r="C279" i="2" s="1"/>
  <c r="C287" i="2" s="1"/>
  <c r="C295" i="2" s="1"/>
  <c r="C303" i="2" s="1"/>
  <c r="C311" i="2" s="1"/>
  <c r="C319" i="2" s="1"/>
  <c r="C327" i="2" s="1"/>
  <c r="C335" i="2" s="1"/>
  <c r="C343" i="2" s="1"/>
  <c r="C351" i="2" s="1"/>
  <c r="C359" i="2" s="1"/>
  <c r="C367" i="2" s="1"/>
  <c r="C375" i="2" s="1"/>
  <c r="C383" i="2" s="1"/>
  <c r="C391" i="2" s="1"/>
  <c r="C399" i="2" s="1"/>
  <c r="C407" i="2" s="1"/>
  <c r="C23" i="2"/>
  <c r="C15" i="2"/>
  <c r="C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tc={D32B98C6-CAF3-8244-AFAA-70D71FC6FA74}</author>
    <author>tc={DFCAE07C-1D7A-EA4C-9BB8-A520080140E1}</author>
    <author>tc={2067C5C6-F48D-674B-ADFB-A5759E378BA8}</author>
    <author>tc={1CD0FF28-3E2E-0240-9B5F-2C02B8626793}</author>
    <author>tc={0EC5D5AA-2A55-E540-B6ED-2FF291C88EE9}</author>
    <author>Lizanne Croonen</author>
    <author>tc={41F157F4-FFBE-DB41-B242-A848FAF2178E}</author>
    <author>tc={6DCD302B-64E5-0044-AE33-03C057742181}</author>
    <author>tc={2E6358C0-8EE5-1348-8394-470386E72437}</author>
    <author>tc={228FF12F-EC59-E04D-8B16-8BAD22111325}</author>
    <author>tc={669EE2F1-2EB1-6F4D-9B16-592F638FBA44}</author>
    <author>tc={A9508E48-27B4-384F-A260-53076DE73338}</author>
    <author>tc={80CFBF23-7B7F-3F4A-A245-EB88037E42FE}</author>
    <author>tc={BECEF755-4D3F-5E42-91C5-805C92E75CD5}</author>
    <author>tc={F963FCD8-CB86-D246-9828-EDFBBFAF0E04}</author>
    <author>tc={7CB384ED-7BBB-4345-98D2-47E6C04354BA}</author>
    <author>tc={A9CDD1EF-43E9-A943-BA64-900B29FB2731}</author>
    <author>tc={025F409F-F687-0144-87EA-141708005375}</author>
    <author>tc={43281875-5033-644E-95B8-D1F971CDB10E}</author>
    <author>tc={13FD78DA-1D31-144C-9A61-6A9A1367F386}</author>
    <author>tc={F137BD0B-9F19-B747-A4C2-C8B9979F1FC6}</author>
    <author>tc={BEA6B704-60F5-264D-9154-477C37C53420}</author>
    <author>tc={F277CBF8-6F3C-A848-AFDA-9107C3BEA5BD}</author>
    <author>tc={4135C8B2-0BFE-CF4C-BC87-5A4AFA2CF8A6}</author>
  </authors>
  <commentList>
    <comment ref="T5" authorId="0" shapeId="0" xr:uid="{D32B98C6-CAF3-8244-AFAA-70D71FC6FA74}">
      <text>
        <t>[Opmerkingenthread]
U kunt deze opmerkingenthread lezen in uw versie van Excel. Eventuele wijzigingen aan de thread gaan echter verloren als het bestand wordt geopend in een nieuwere versie van Excel. Meer informatie: https://go.microsoft.com/fwlink/?linkid=870924
Opmerking:
    Geen SEO-potentie, dus alleen updaten als we het artikel meenemen in de nieuwsbrief/socials</t>
      </text>
    </comment>
    <comment ref="H21" authorId="1" shapeId="0" xr:uid="{DFCAE07C-1D7A-EA4C-9BB8-A520080140E1}">
      <text>
        <t>[Opmerkingenthread]
U kunt deze opmerkingenthread lezen in uw versie van Excel. Eventuele wijzigingen aan de thread gaan echter verloren als het bestand wordt geopend in een nieuwere versie van Excel. Meer informatie: https://go.microsoft.com/fwlink/?linkid=870924
Opmerking:
    Gerelateerd aan rozenartikel GW2602</t>
      </text>
    </comment>
    <comment ref="H22" authorId="2" shapeId="0" xr:uid="{2067C5C6-F48D-674B-ADFB-A5759E378BA8}">
      <text>
        <t>[Opmerkingenthread]
U kunt deze opmerkingenthread lezen in uw versie van Excel. Eventuele wijzigingen aan de thread gaan echter verloren als het bestand wordt geopend in een nieuwere versie van Excel. Meer informatie: https://go.microsoft.com/fwlink/?linkid=870924
Opmerking:
    Nauwelijks zoekvolume op het onderwerp, dus een SEO-briefing is niet nodig.</t>
      </text>
    </comment>
    <comment ref="H25" authorId="3" shapeId="0" xr:uid="{1CD0FF28-3E2E-0240-9B5F-2C02B8626793}">
      <text>
        <t>[Opmerkingenthread]
U kunt deze opmerkingenthread lezen in uw versie van Excel. Eventuele wijzigingen aan de thread gaan echter verloren als het bestand wordt geopend in een nieuwere versie van Excel. Meer informatie: https://go.microsoft.com/fwlink/?linkid=870924
Opmerking:
    Discover</t>
      </text>
    </comment>
    <comment ref="H36" authorId="4" shapeId="0" xr:uid="{0EC5D5AA-2A55-E540-B6ED-2FF291C88EE9}">
      <text>
        <t>[Opmerkingenthread]
U kunt deze opmerkingenthread lezen in uw versie van Excel. Eventuele wijzigingen aan de thread gaan echter verloren als het bestand wordt geopend in een nieuwere versie van Excel. Meer informatie: https://go.microsoft.com/fwlink/?linkid=870924
Opmerking:
    Walnotenboom in titel, notenboom snoeien herhalen in tekst
Beantwoorden:
    Ik zou focussen op 'notenboom snoeien' in de titel. We kunnen later nog wel een artikel schrijven waarbij we optimaliseren op de walnotenboom</t>
      </text>
    </comment>
    <comment ref="T36" authorId="5" shapeId="0" xr:uid="{A9EB580A-5224-424F-ACDD-4AFC6FC8289D}">
      <text>
        <r>
          <rPr>
            <sz val="10"/>
            <color rgb="FF000000"/>
            <rFont val="Aptos Narrow"/>
            <family val="2"/>
            <scheme val="minor"/>
          </rPr>
          <t>Lizanne Croonen:
https://www.gardenersworldmagazine.nl/groene-school/kweken/verwarmde-kweekbak-kiezen-en-gebruiken/</t>
        </r>
      </text>
    </comment>
    <comment ref="H37" authorId="6" shapeId="0" xr:uid="{41F157F4-FFBE-DB41-B242-A848FAF2178E}">
      <text>
        <t>[Opmerkingenthread]
U kunt deze opmerkingenthread lezen in uw versie van Excel. Eventuele wijzigingen aan de thread gaan echter verloren als het bestand wordt geopend in een nieuwere versie van Excel. Meer informatie: https://go.microsoft.com/fwlink/?linkid=870924
Opmerking:
    Toscaanse jasmijn
Passiebloem
Clematis
Oleander
Siergrassen
(en meer evt.)
Evt. clickbait titel voor SEO, meer GW titel in artikel zelf</t>
      </text>
    </comment>
    <comment ref="H45" authorId="7" shapeId="0" xr:uid="{6DCD302B-64E5-0044-AE33-03C057742181}">
      <text>
        <t>[Opmerkingenthread]
U kunt deze opmerkingenthread lezen in uw versie van Excel. Eventuele wijzigingen aan de thread gaan echter verloren als het bestand wordt geopend in een nieuwere versie van Excel. Meer informatie: https://go.microsoft.com/fwlink/?linkid=870924
Opmerking:
    X tuiniers delen hun romantische rozenverhalen + vermeld bij Remy handle Insta remy_and_my_garden__</t>
      </text>
    </comment>
    <comment ref="AF45" authorId="5" shapeId="0" xr:uid="{93452723-F764-294B-96F8-21D7FAA44CC3}">
      <text>
        <r>
          <rPr>
            <sz val="10"/>
            <color rgb="FF000000"/>
            <rFont val="Aptos Narrow"/>
            <family val="2"/>
            <scheme val="minor"/>
          </rPr>
          <t xml:space="preserve">Lizanne Croonen:
Wachten op akkoord Molly
</t>
        </r>
      </text>
    </comment>
    <comment ref="H56" authorId="5" shapeId="0" xr:uid="{B8F160FA-A058-CB47-9B4B-D05A27C5DDD1}">
      <text>
        <r>
          <rPr>
            <sz val="10"/>
            <color rgb="FF000000"/>
            <rFont val="Aptos Narrow"/>
            <family val="2"/>
            <scheme val="minor"/>
          </rPr>
          <t xml:space="preserve">Lizanne Croonen:
Check ook GW2 voor de grote Tomatengids
</t>
        </r>
      </text>
    </comment>
    <comment ref="H64" authorId="8" shapeId="0" xr:uid="{2E6358C0-8EE5-1348-8394-470386E72437}">
      <text>
        <t>[Opmerkingenthread]
U kunt deze opmerkingenthread lezen in uw versie van Excel. Eventuele wijzigingen aan de thread gaan echter verloren als het bestand wordt geopend in een nieuwere versie van Excel. Meer informatie: https://go.microsoft.com/fwlink/?linkid=870924
Opmerking:
    Is een winterprobleem, dus liefst in februari oppakken</t>
      </text>
    </comment>
    <comment ref="T65" authorId="5" shapeId="0" xr:uid="{DC7300A6-1788-2946-BA7E-F2E280C177AF}">
      <text>
        <r>
          <rPr>
            <sz val="10"/>
            <color rgb="FF000000"/>
            <rFont val="Aptos Narrow"/>
            <family val="2"/>
            <scheme val="minor"/>
          </rPr>
          <t>Lizanne Croonen:
https://www.gardenersworldmagazine.nl/groene-school/kweken/grootste-zaaifouten-voorkomen/</t>
        </r>
      </text>
    </comment>
    <comment ref="H66" authorId="9" shapeId="0" xr:uid="{228FF12F-EC59-E04D-8B16-8BAD22111325}">
      <text>
        <t>[Opmerkingenthread]
U kunt deze opmerkingenthread lezen in uw versie van Excel. Eventuele wijzigingen aan de thread gaan echter verloren als het bestand wordt geopend in een nieuwere versie van Excel. Meer informatie: https://go.microsoft.com/fwlink/?linkid=870924
Opmerking:
    Is een winterprobleem, dus liefst in februari oppakken</t>
      </text>
    </comment>
    <comment ref="T68" authorId="10" shapeId="0" xr:uid="{669EE2F1-2EB1-6F4D-9B16-592F638FBA44}">
      <text>
        <t>[Opmerkingenthread]
U kunt deze opmerkingenthread lezen in uw versie van Excel. Eventuele wijzigingen aan de thread gaan echter verloren als het bestand wordt geopend in een nieuwere versie van Excel. Meer informatie: https://go.microsoft.com/fwlink/?linkid=870924
Opmerking:
    Briefing niet nodig: https://www.gardenersworldmagazine.nl/groene-school/kweken/zaaien-in-maart-groenten-bloemen/</t>
      </text>
    </comment>
    <comment ref="T69" authorId="11" shapeId="0" xr:uid="{A9508E48-27B4-384F-A260-53076DE73338}">
      <text>
        <t>[Opmerkingenthread]
U kunt deze opmerkingenthread lezen in uw versie van Excel. Eventuele wijzigingen aan de thread gaan echter verloren als het bestand wordt geopend in een nieuwere versie van Excel. Meer informatie: https://go.microsoft.com/fwlink/?linkid=870924
Opmerking:
    Briefing niet nodig: https://www.gardenersworldmagazine.nl/groene-school/snoeien/snoeien-in-maart/. We kunnen het artikel eventueel publiceren onder een nieuwe url?</t>
      </text>
    </comment>
    <comment ref="H70" authorId="12" shapeId="0" xr:uid="{80CFBF23-7B7F-3F4A-A245-EB88037E42FE}">
      <text>
        <t>[Opmerkingenthread]
U kunt deze opmerkingenthread lezen in uw versie van Excel. Eventuele wijzigingen aan de thread gaan echter verloren als het bestand wordt geopend in een nieuwere versie van Excel. Meer informatie: https://go.microsoft.com/fwlink/?linkid=870924
Opmerking:
    Discover</t>
      </text>
    </comment>
    <comment ref="T70" authorId="13" shapeId="0" xr:uid="{BECEF755-4D3F-5E42-91C5-805C92E75CD5}">
      <text>
        <t>[Opmerkingenthread]
U kunt deze opmerkingenthread lezen in uw versie van Excel. Eventuele wijzigingen aan de thread gaan echter verloren als het bestand wordt geopend in een nieuwere versie van Excel. Meer informatie: https://go.microsoft.com/fwlink/?linkid=870924
Opmerking:
    Verwijs naar de moestuincursus</t>
      </text>
    </comment>
    <comment ref="T71" authorId="14" shapeId="0" xr:uid="{F963FCD8-CB86-D246-9828-EDFBBFAF0E04}">
      <text>
        <t>[Opmerkingenthread]
U kunt deze opmerkingenthread lezen in uw versie van Excel. Eventuele wijzigingen aan de thread gaan echter verloren als het bestand wordt geopend in een nieuwere versie van Excel. Meer informatie: https://go.microsoft.com/fwlink/?linkid=870924
Opmerking:
    https://www.gardenersworldmagazine.nl/groene-school/moestuin/voedselverspilling-voorkomen-volledig-eetbare-groenten/</t>
      </text>
    </comment>
    <comment ref="T72" authorId="5" shapeId="0" xr:uid="{A6A2465B-8935-D642-BD54-26D4B041BA43}">
      <text>
        <r>
          <rPr>
            <sz val="10"/>
            <color rgb="FF000000"/>
            <rFont val="Aptos Narrow"/>
            <family val="2"/>
            <scheme val="minor"/>
          </rPr>
          <t>Lizanne Croonen:
https://www.gardenersworldmagazine.nl/groene-school/moestuin/radijs-kweken/</t>
        </r>
      </text>
    </comment>
    <comment ref="H76" authorId="15" shapeId="0" xr:uid="{7CB384ED-7BBB-4345-98D2-47E6C04354BA}">
      <text>
        <t>[Opmerkingenthread]
U kunt deze opmerkingenthread lezen in uw versie van Excel. Eventuele wijzigingen aan de thread gaan echter verloren als het bestand wordt geopend in een nieuwere versie van Excel. Meer informatie: https://go.microsoft.com/fwlink/?linkid=870924
Opmerking:
    Concept staat klaar in de backend</t>
      </text>
    </comment>
    <comment ref="AF76" authorId="16" shapeId="0" xr:uid="{A9CDD1EF-43E9-A943-BA64-900B29FB2731}">
      <text>
        <t>[Opmerkingenthread]
U kunt deze opmerkingenthread lezen in uw versie van Excel. Eventuele wijzigingen aan de thread gaan echter verloren als het bestand wordt geopend in een nieuwere versie van Excel. Meer informatie: https://go.microsoft.com/fwlink/?linkid=870924
Opmerking:
    Discover</t>
      </text>
    </comment>
    <comment ref="H77" authorId="17" shapeId="0" xr:uid="{025F409F-F687-0144-87EA-141708005375}">
      <text>
        <t>[Opmerkingenthread]
U kunt deze opmerkingenthread lezen in uw versie van Excel. Eventuele wijzigingen aan de thread gaan echter verloren als het bestand wordt geopend in een nieuwere versie van Excel. Meer informatie: https://go.microsoft.com/fwlink/?linkid=870924
Opmerking:
    Weinig zoekvolume, briefing niet nodig. 
Dit artikel mag vertaald worden: https://www.gardenersworld.com/how-to/diy/10-ways-to-improve-your-shed/</t>
      </text>
    </comment>
    <comment ref="H79" authorId="18" shapeId="0" xr:uid="{43281875-5033-644E-95B8-D1F971CDB10E}">
      <text>
        <t>[Opmerkingenthread]
U kunt deze opmerkingenthread lezen in uw versie van Excel. Eventuele wijzigingen aan de thread gaan echter verloren als het bestand wordt geopend in een nieuwere versie van Excel. Meer informatie: https://go.microsoft.com/fwlink/?linkid=870924
Opmerking:
    Deze kan vertaald worden: https://www.gardenersworld.com/how-to/maintain-the-garden/zen-garden-ideas/
(briefing hier niet nodig)</t>
      </text>
    </comment>
    <comment ref="H81" authorId="19" shapeId="0" xr:uid="{13FD78DA-1D31-144C-9A61-6A9A1367F386}">
      <text>
        <t>[Opmerkingenthread]
U kunt deze opmerkingenthread lezen in uw versie van Excel. Eventuele wijzigingen aan de thread gaan echter verloren als het bestand wordt geopend in een nieuwere versie van Excel. Meer informatie: https://go.microsoft.com/fwlink/?linkid=870924
Opmerking:
    Incl filmpje met tips van Anne tegen slakken</t>
      </text>
    </comment>
    <comment ref="H82" authorId="20" shapeId="0" xr:uid="{F137BD0B-9F19-B747-A4C2-C8B9979F1FC6}">
      <text>
        <t>[Opmerkingenthread]
U kunt deze opmerkingenthread lezen in uw versie van Excel. Eventuele wijzigingen aan de thread gaan echter verloren als het bestand wordt geopend in een nieuwere versie van Excel. Meer informatie: https://go.microsoft.com/fwlink/?linkid=870924
Opmerking:
    Keywords om mee te nemen:
- Klimplant tegen muur bevestigen (100)
- Klimplant schutting bevestigen (60)
- Klimplant begeleiden (40)
- Klimplant ondersteuning (30)
Belangrijke concurrenten:
https://www.intratuin.nl/inspiratie/klimplanten-bevestigen
https://www.tuinplantenonline.nl/klimplanten-begeleiden/ 
Beantwoorden:
    Zie p. 50 GW2604.</t>
      </text>
    </comment>
    <comment ref="T86" authorId="5" shapeId="0" xr:uid="{FA18B5EA-5179-2645-9C02-EC498CCBC949}">
      <text>
        <r>
          <rPr>
            <sz val="10"/>
            <color rgb="FF000000"/>
            <rFont val="Aptos Narrow"/>
            <family val="2"/>
            <scheme val="minor"/>
          </rPr>
          <t>Lizanne Croonen:
Dit artikel opfrissen, lijkt te gaan over bloeiboog maar bevat ook klusjes.
https://www.gardenersworldmagazine.nl/inspiratie/het-hele-jaar-kleur-in-de-tuin-plannen/</t>
        </r>
      </text>
    </comment>
    <comment ref="T90" authorId="21" shapeId="0" xr:uid="{BEA6B704-60F5-264D-9154-477C37C53420}">
      <text>
        <t>[Opmerkingenthread]
U kunt deze opmerkingenthread lezen in uw versie van Excel. Eventuele wijzigingen aan de thread gaan echter verloren als het bestand wordt geopend in een nieuwere versie van Excel. Meer informatie: https://go.microsoft.com/fwlink/?linkid=870924
Opmerking:
    Rerunnen + nieuwe url: /snoeien/lavendel-snoeien/</t>
      </text>
    </comment>
    <comment ref="T92" authorId="22" shapeId="0" xr:uid="{F277CBF8-6F3C-A848-AFDA-9107C3BEA5BD}">
      <text>
        <t>[Opmerkingenthread]
U kunt deze opmerkingenthread lezen in uw versie van Excel. Eventuele wijzigingen aan de thread gaan echter verloren als het bestand wordt geopend in een nieuwere versie van Excel. Meer informatie: https://go.microsoft.com/fwlink/?linkid=870924
Opmerking:
    https://senest.dk/hus-og-have/goer-kaal-paa-ukrudtet-en-gang-for-alle-og-alt-du-skal-bruge-er-en-madvare1</t>
      </text>
    </comment>
    <comment ref="T93" authorId="23" shapeId="0" xr:uid="{4135C8B2-0BFE-CF4C-BC87-5A4AFA2CF8A6}">
      <text>
        <t>[Opmerkingenthread]
U kunt deze opmerkingenthread lezen in uw versie van Excel. Eventuele wijzigingen aan de thread gaan echter verloren als het bestand wordt geopend in een nieuwere versie van Excel. Meer informatie: https://go.microsoft.com/fwlink/?linkid=870924
Opmerking:
    Discover</t>
      </text>
    </comment>
  </commentList>
</comments>
</file>

<file path=xl/sharedStrings.xml><?xml version="1.0" encoding="utf-8"?>
<sst xmlns="http://schemas.openxmlformats.org/spreadsheetml/2006/main" count="806" uniqueCount="206">
  <si>
    <t>Kalender</t>
  </si>
  <si>
    <t>Artikel 1</t>
  </si>
  <si>
    <t>Social</t>
  </si>
  <si>
    <t>Artikel 2: RERUNS</t>
  </si>
  <si>
    <t>Artikel 3 / Partnerbijdragen / TV</t>
  </si>
  <si>
    <t>Datum</t>
  </si>
  <si>
    <t>Wk</t>
  </si>
  <si>
    <t>Dag</t>
  </si>
  <si>
    <t>Wie</t>
  </si>
  <si>
    <t>Categorie</t>
  </si>
  <si>
    <t>Tijd</t>
  </si>
  <si>
    <t>Onderwerp</t>
  </si>
  <si>
    <t>NB</t>
  </si>
  <si>
    <t>FB</t>
  </si>
  <si>
    <t>IG-p</t>
  </si>
  <si>
    <t>IG-s</t>
  </si>
  <si>
    <t>Pin</t>
  </si>
  <si>
    <t>Repin</t>
  </si>
  <si>
    <t>Start januari-campagne</t>
  </si>
  <si>
    <t>Ma</t>
  </si>
  <si>
    <t>ID*</t>
  </si>
  <si>
    <t>Kweken</t>
  </si>
  <si>
    <t>Geranium stekken</t>
  </si>
  <si>
    <t>LC*</t>
  </si>
  <si>
    <t>Partnerbijdrage</t>
  </si>
  <si>
    <t>Dimsum: 3 Japanse tuinen</t>
  </si>
  <si>
    <t>LC</t>
  </si>
  <si>
    <t>Di</t>
  </si>
  <si>
    <t>Tuinklussen</t>
  </si>
  <si>
    <t>Extreme kou op komst: tips redactie</t>
  </si>
  <si>
    <t>Perkplanten zaaien januari?</t>
  </si>
  <si>
    <t>Wo</t>
  </si>
  <si>
    <t>Tuingereedschap onderhoud</t>
  </si>
  <si>
    <t>Do</t>
  </si>
  <si>
    <t>Vroeg zaaien</t>
  </si>
  <si>
    <t>Vr</t>
  </si>
  <si>
    <t>Za</t>
  </si>
  <si>
    <t>Zo</t>
  </si>
  <si>
    <t>Checklist week #3</t>
  </si>
  <si>
    <t>Kamerplanten</t>
  </si>
  <si>
    <t>Planten badkamer</t>
  </si>
  <si>
    <t>Start moestuincursus</t>
  </si>
  <si>
    <t>Inspiratie</t>
  </si>
  <si>
    <t>Botanische tuinen in de winter</t>
  </si>
  <si>
    <t>Moestuin</t>
  </si>
  <si>
    <t>Annes moestuingeheim in de winter</t>
  </si>
  <si>
    <t>Winterkas</t>
  </si>
  <si>
    <t>De moestuincursus is live - begin vandaag nog</t>
  </si>
  <si>
    <t>Winterse problemen bij kamerplanten</t>
  </si>
  <si>
    <t>Kamerplanten water geven</t>
  </si>
  <si>
    <t>HK*</t>
  </si>
  <si>
    <t>Beginnen met een moestuin: met deze 5 groenten kan het bijna niet misgaan</t>
  </si>
  <si>
    <t>Zure grond maken</t>
  </si>
  <si>
    <t>Biodiversiteit</t>
  </si>
  <si>
    <t>Tuinvogels</t>
  </si>
  <si>
    <t>Checklist week #4</t>
  </si>
  <si>
    <t>Snoeien</t>
  </si>
  <si>
    <t>Catalpa snoeien</t>
  </si>
  <si>
    <t>GJ*</t>
  </si>
  <si>
    <t>Ezelsbruggetje ABC-bomen niet snoeien (Discover)</t>
  </si>
  <si>
    <t>Winactie Natural Bulbs</t>
  </si>
  <si>
    <t>Editiemail GW2602</t>
  </si>
  <si>
    <t>Verrassende rozen (favorieten van de Bierkreek)</t>
  </si>
  <si>
    <t>Winactie tuindieren</t>
  </si>
  <si>
    <t>Maak een vogelverschrikker voor je moestuin (vertaling)</t>
  </si>
  <si>
    <t>Wintercompost</t>
  </si>
  <si>
    <t>Dit is het ideale moment om met je moestuin te starten</t>
  </si>
  <si>
    <t>Checklist week #5</t>
  </si>
  <si>
    <t>Voorproefje GW2: vogelslinger</t>
  </si>
  <si>
    <t xml:space="preserve"> </t>
  </si>
  <si>
    <t>Kupers reisverslag #3</t>
  </si>
  <si>
    <t>Zet link februarinummer bij rozenartikel</t>
  </si>
  <si>
    <t>TV-pagina</t>
  </si>
  <si>
    <t>Monty bezoek NL tuinen</t>
  </si>
  <si>
    <t>Maak een schuilplaats voor lieveheersbeestjes en gaasvliegen (vertaling)</t>
  </si>
  <si>
    <t>Hub</t>
  </si>
  <si>
    <t>Miscanthus sinensis</t>
  </si>
  <si>
    <t>Wat kost een moestuin écht? Dit heb je minimaal nodig</t>
  </si>
  <si>
    <t>Pepers kweken</t>
  </si>
  <si>
    <t>Tuinvogeltelling</t>
  </si>
  <si>
    <t>Snoeien met nachtvorst</t>
  </si>
  <si>
    <t>Vogels lokken</t>
  </si>
  <si>
    <t>Vetbollen maken</t>
  </si>
  <si>
    <t>Eind januari-campagne ; tuinvogeltelling</t>
  </si>
  <si>
    <t>Checklist week #6</t>
  </si>
  <si>
    <t>Rouwvliegjes bestrijden</t>
  </si>
  <si>
    <t>Vogels voeren in de winter</t>
  </si>
  <si>
    <t>Carrousels aanpassen: februari</t>
  </si>
  <si>
    <t>Notenboom snoeien</t>
  </si>
  <si>
    <t>Verwarmd kweken</t>
  </si>
  <si>
    <t>Groenten/kruiden zaaien in feb</t>
  </si>
  <si>
    <t>Veel tuiniers snoeien nu deze planten, maar doe het niet!</t>
  </si>
  <si>
    <t>Gele bladeren plant</t>
  </si>
  <si>
    <t>GW Compilations 2 (afwijkende tijd!)</t>
  </si>
  <si>
    <t>Maak deze fout niet als je net begint met een moestuin</t>
  </si>
  <si>
    <t>Zo maak je een pluktuinkalender voor 2026</t>
  </si>
  <si>
    <t>Moestuin in februari</t>
  </si>
  <si>
    <t>Snoeien februari</t>
  </si>
  <si>
    <t>Checklist week #7 (MAANDAG)</t>
  </si>
  <si>
    <t>Zaaien februari</t>
  </si>
  <si>
    <t>Cosmea</t>
  </si>
  <si>
    <t>Rozenverhalen van lezers</t>
  </si>
  <si>
    <t>Winactie Stekkers - maartnummer</t>
  </si>
  <si>
    <t>Checklist</t>
  </si>
  <si>
    <t>Zó kies je de perfecte plek voor je moestuin</t>
  </si>
  <si>
    <t>Geen GW TV</t>
  </si>
  <si>
    <t>Eetbare planten voor je siertuin</t>
  </si>
  <si>
    <t>Oogst langer en meer</t>
  </si>
  <si>
    <t>Editiemail GW2603</t>
  </si>
  <si>
    <t>Gooi dit niet weg / budgettips</t>
  </si>
  <si>
    <t>5 slimme moestuinhacks die niet iedereen kent</t>
  </si>
  <si>
    <t>Tomaten kweken (vertaling)</t>
  </si>
  <si>
    <t>Blauwe bessen kweken</t>
  </si>
  <si>
    <t>Fruitbomen snoeien</t>
  </si>
  <si>
    <t>Wilgen knotten</t>
  </si>
  <si>
    <t>Voorproefje deze week</t>
  </si>
  <si>
    <t>Winactie Natural Bulbs / tuindierenwinactie afsluiten.</t>
  </si>
  <si>
    <t>Extreem weer</t>
  </si>
  <si>
    <t>Tomaten halfrijp oogsten: dit artikel moet weg/redirect/herschrijven</t>
  </si>
  <si>
    <t>Maak deze 3 moestuin-beginnersfouten niet!</t>
  </si>
  <si>
    <t>Schimmel op potgrond</t>
  </si>
  <si>
    <t>Pink Ribbon</t>
  </si>
  <si>
    <t>Zaaifouten</t>
  </si>
  <si>
    <t>Duurzame kwekerijen</t>
  </si>
  <si>
    <t>Carrousels aanpassen: maart</t>
  </si>
  <si>
    <t xml:space="preserve">Laurier </t>
  </si>
  <si>
    <t>Zaaien in maart</t>
  </si>
  <si>
    <t>Paardenbloemen onkruid?</t>
  </si>
  <si>
    <t>Bomen planten</t>
  </si>
  <si>
    <t>Snoeien in maart</t>
  </si>
  <si>
    <t>Moestuin in maart</t>
  </si>
  <si>
    <t>(compilations + volgende week start GW seizoen)</t>
  </si>
  <si>
    <t>Starten met je moestuin in 3 stappen</t>
  </si>
  <si>
    <t>Voedselverspilling moestuin</t>
  </si>
  <si>
    <t>Annabelle (hortensia) snoeien</t>
  </si>
  <si>
    <t>Radijs zaaien</t>
  </si>
  <si>
    <t>Ridderspoor zaaien</t>
  </si>
  <si>
    <t>In de kas van Anne</t>
  </si>
  <si>
    <t>Tomaten zaaien voor beginners</t>
  </si>
  <si>
    <t>(NOTE: vanaf hier alles goed gegevensvalidatie)</t>
  </si>
  <si>
    <t>Bananenplant</t>
  </si>
  <si>
    <t>KE*</t>
  </si>
  <si>
    <t>Groene aanslag verwijderen (redirect)</t>
  </si>
  <si>
    <t>10 manieren om een tuinhuis te verbeteren (vertaling)</t>
  </si>
  <si>
    <t>Snoeifouten</t>
  </si>
  <si>
    <t>GW op tv begint 13 mrt</t>
  </si>
  <si>
    <t>Ideeën voor rotstuinen (vertaling)</t>
  </si>
  <si>
    <t>Lente-dossier (video erop)</t>
  </si>
  <si>
    <t>Boerenhortensia</t>
  </si>
  <si>
    <t>12 ideeën voor een zen-tuin (vertaling)</t>
  </si>
  <si>
    <t>Aardbeien kweken</t>
  </si>
  <si>
    <t>Fuchsia snoeien</t>
  </si>
  <si>
    <t>HK+</t>
  </si>
  <si>
    <t xml:space="preserve">Waarom slimme moestuiniers bijna niets uitgeven (en toch kilo’s oogsten) </t>
  </si>
  <si>
    <t>Wisselteelt</t>
  </si>
  <si>
    <t>RERUN</t>
  </si>
  <si>
    <t>Terrarium</t>
  </si>
  <si>
    <t>HK</t>
  </si>
  <si>
    <t>Wees er snel bij om slakken te voorkomen</t>
  </si>
  <si>
    <t>Pruikenboom snoeien</t>
  </si>
  <si>
    <t>Problemen bij aardbeien</t>
  </si>
  <si>
    <t>Klimplanten steunen/leiden</t>
  </si>
  <si>
    <t>Microgroenten</t>
  </si>
  <si>
    <t>Moestuinbeurs</t>
  </si>
  <si>
    <t>Paardenbloem</t>
  </si>
  <si>
    <t>Heg snoeien</t>
  </si>
  <si>
    <t>Editiemail GW2604 (magazine vd maand Bruna)</t>
  </si>
  <si>
    <t xml:space="preserve">Moestuinpaden aanleggen: dit is het beste (en slechtste) materiaal </t>
  </si>
  <si>
    <t>Hele jaar kleur in de tuin</t>
  </si>
  <si>
    <t>Branding campagne start</t>
  </si>
  <si>
    <t>Truc voorzaaien</t>
  </si>
  <si>
    <t>Hangplanten voor binnen</t>
  </si>
  <si>
    <t>Bemesten?</t>
  </si>
  <si>
    <t>Makkelijke kamerplanten</t>
  </si>
  <si>
    <t>Lavendel snoeien</t>
  </si>
  <si>
    <t>Ginko biloba</t>
  </si>
  <si>
    <t>Azijn tegen onkruid (redirect &amp; rerun)</t>
  </si>
  <si>
    <t>Winactie Stekkers afsluiten.</t>
  </si>
  <si>
    <t>Luchtzuiverende planten: feit of fabel (Discover)</t>
  </si>
  <si>
    <t>Zo vergroot je de biodiversiteit in je (moes)tuin</t>
  </si>
  <si>
    <t>Campanula</t>
  </si>
  <si>
    <t>Probleemoplossingen bij slakken</t>
  </si>
  <si>
    <t>Carrousels aanpassen: april</t>
  </si>
  <si>
    <t>Philodendron</t>
  </si>
  <si>
    <t>Krentenboom</t>
  </si>
  <si>
    <t>Editiemail GW2605</t>
  </si>
  <si>
    <t>Branding campagne stopt</t>
  </si>
  <si>
    <t>Kardinaalsmuts</t>
  </si>
  <si>
    <t>Carrousels aanpassen: mei</t>
  </si>
  <si>
    <t>Editiemail GW2606</t>
  </si>
  <si>
    <t>Carrousels aanpassen: juni</t>
  </si>
  <si>
    <t>Editiemail GW2607</t>
  </si>
  <si>
    <t>Carrousels aanpassen: juli</t>
  </si>
  <si>
    <t>Editiemail GW2608</t>
  </si>
  <si>
    <t>Carrousels aanpassen: augustus</t>
  </si>
  <si>
    <t>Editiemail GW2609</t>
  </si>
  <si>
    <t>Carrousels aanpassen: september</t>
  </si>
  <si>
    <t>Editiemail GW2610</t>
  </si>
  <si>
    <t>Carrousels aanpassen: oktober</t>
  </si>
  <si>
    <t>Ambrosia (Alsemambrosia)</t>
  </si>
  <si>
    <t>Editiemail GW2611</t>
  </si>
  <si>
    <t>Carrousels aanpassen: november</t>
  </si>
  <si>
    <t>Editiemail GW2612</t>
  </si>
  <si>
    <t>Carrousels aanpassen: december</t>
  </si>
  <si>
    <t>Amaryllis in wax: wel of niet doen?</t>
  </si>
  <si>
    <t>Editiemail GW2701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</si>
</sst>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
    <numFmt numFmtId="165" formatCode="d\-m"/>
    <numFmt numFmtId="166" formatCode="d\-m\-yyyy"/>
  </numFmts>
  <fonts count="25" x14ac:knownFonts="1">
    <font>
      <sz val="12"/>
      <color theme="1"/>
      <name val="Aptos Narrow"/>
      <family val="2"/>
      <scheme val="minor"/>
    </font>
    <font>
      <sz val="10"/>
      <color rgb="FF000000"/>
      <name val="Aptos Narrow"/>
      <family val="2"/>
      <scheme val="minor"/>
    </font>
    <font>
      <b/>
      <sz val="11"/>
      <color theme="1"/>
      <name val="Calibri"/>
      <family val="2"/>
    </font>
    <font>
      <b/>
      <sz val="10"/>
      <color theme="1"/>
      <name val="Calibri"/>
      <family val="2"/>
    </font>
    <font>
      <b/>
      <sz val="11"/>
      <color rgb="FF000000"/>
      <name val="Calibri"/>
      <family val="2"/>
    </font>
    <font>
      <b/>
      <sz val="12"/>
      <color theme="1"/>
      <name val="Calibri"/>
      <family val="2"/>
    </font>
    <font>
      <b/>
      <sz val="10"/>
      <color rgb="FF000000"/>
      <name val="Aptos Narrow"/>
      <family val="2"/>
      <scheme val="minor"/>
    </font>
    <font>
      <sz val="11"/>
      <color rgb="FF222A35"/>
      <name val="Calibri"/>
      <family val="2"/>
    </font>
    <font>
      <sz val="11"/>
      <color theme="1"/>
      <name val="Calibri"/>
      <family val="2"/>
    </font>
    <font>
      <sz val="10"/>
      <color theme="1"/>
      <name val="Calibri"/>
      <family val="2"/>
    </font>
    <font>
      <sz val="11"/>
      <color rgb="FF000000"/>
      <name val="Calibri"/>
      <family val="2"/>
    </font>
    <font>
      <u/>
      <sz val="10"/>
      <color theme="10"/>
      <name val="Aptos Narrow"/>
      <family val="2"/>
      <scheme val="minor"/>
    </font>
    <font>
      <sz val="11"/>
      <color rgb="FF093D93"/>
      <name val="Calibri"/>
      <family val="2"/>
    </font>
    <font>
      <sz val="11"/>
      <name val="Calibri"/>
      <family val="2"/>
    </font>
    <font>
      <sz val="10"/>
      <color rgb="FF803600"/>
      <name val="Arial"/>
      <family val="2"/>
    </font>
    <font>
      <sz val="11"/>
      <color rgb="FF803600"/>
      <name val="Calibri"/>
      <family val="2"/>
    </font>
    <font>
      <sz val="10"/>
      <color rgb="FF00B050"/>
      <name val="Calibri"/>
      <family val="2"/>
    </font>
    <font>
      <sz val="11"/>
      <color rgb="FF7030A0"/>
      <name val="Calibri"/>
      <family val="2"/>
    </font>
    <font>
      <u/>
      <sz val="10"/>
      <color rgb="FF000000"/>
      <name val="Aptos Narrow"/>
      <family val="2"/>
      <scheme val="minor"/>
    </font>
    <font>
      <sz val="11"/>
      <color rgb="FF9C0006"/>
      <name val="Calibri"/>
      <family val="2"/>
    </font>
    <font>
      <sz val="10"/>
      <name val="Aptos Narrow"/>
      <family val="2"/>
      <scheme val="minor"/>
    </font>
    <font>
      <sz val="10"/>
      <color rgb="FF000000"/>
      <name val="Calibri"/>
      <family val="2"/>
    </font>
    <font>
      <sz val="10"/>
      <name val="Calibri"/>
      <family val="2"/>
    </font>
    <font>
      <sz val="11"/>
      <color rgb="FF000000"/>
      <name val="Aptos Narrow"/>
      <family val="2"/>
      <scheme val="minor"/>
    </font>
    <font>
      <sz val="10"/>
      <color rgb="FF000000"/>
      <name val="Tahoma"/>
      <family val="2"/>
    </font>
  </fonts>
  <fills count="16">
    <fill>
      <patternFill patternType="none"/>
    </fill>
    <fill>
      <patternFill patternType="gray125"/>
    </fill>
    <fill>
      <patternFill patternType="solid">
        <fgColor rgb="FFA3E4DB"/>
        <bgColor rgb="FFA3E4DB"/>
      </patternFill>
    </fill>
    <fill>
      <patternFill patternType="solid">
        <fgColor theme="9" tint="0.79998168889431442"/>
        <bgColor indexed="64"/>
      </patternFill>
    </fill>
    <fill>
      <patternFill patternType="solid">
        <fgColor rgb="FFD6ECE2"/>
        <bgColor rgb="FFD6ECE2"/>
      </patternFill>
    </fill>
    <fill>
      <patternFill patternType="solid">
        <fgColor rgb="FFDAF1F3"/>
        <bgColor indexed="64"/>
      </patternFill>
    </fill>
    <fill>
      <patternFill patternType="solid">
        <fgColor rgb="FFF3F3F3"/>
        <bgColor rgb="FFF3F3F3"/>
      </patternFill>
    </fill>
    <fill>
      <patternFill patternType="solid">
        <fgColor rgb="FFDAF1F3"/>
        <bgColor rgb="FFF3F3F3"/>
      </patternFill>
    </fill>
    <fill>
      <patternFill patternType="solid">
        <fgColor theme="0"/>
        <bgColor indexed="64"/>
      </patternFill>
    </fill>
    <fill>
      <patternFill patternType="solid">
        <fgColor rgb="FFFFFFFF"/>
        <bgColor rgb="FFFFFFFF"/>
      </patternFill>
    </fill>
    <fill>
      <patternFill patternType="solid">
        <fgColor rgb="FFFFC599"/>
        <bgColor rgb="FF000000"/>
      </patternFill>
    </fill>
    <fill>
      <patternFill patternType="solid">
        <fgColor rgb="FFFDD868"/>
        <bgColor indexed="64"/>
      </patternFill>
    </fill>
    <fill>
      <patternFill patternType="solid">
        <fgColor rgb="FFFFC599"/>
        <bgColor rgb="FFF3F3F3"/>
      </patternFill>
    </fill>
    <fill>
      <patternFill patternType="solid">
        <fgColor rgb="FFF2E0FF"/>
        <bgColor rgb="FFF3F3F3"/>
      </patternFill>
    </fill>
    <fill>
      <patternFill patternType="solid">
        <fgColor theme="0" tint="-4.9989318521683403E-2"/>
        <bgColor indexed="64"/>
      </patternFill>
    </fill>
    <fill>
      <patternFill patternType="solid">
        <fgColor rgb="FFFFC7CE"/>
        <bgColor rgb="FFF3F3F3"/>
      </patternFill>
    </fill>
  </fills>
  <borders count="6">
    <border>
      <left/>
      <right/>
      <top/>
      <bottom/>
      <diagonal/>
    </border>
    <border>
      <left style="hair">
        <color rgb="FFCCCCCC"/>
      </left>
      <right/>
      <top style="hair">
        <color rgb="FFCCCCCC"/>
      </top>
      <bottom style="hair">
        <color rgb="FFCCCCCC"/>
      </bottom>
      <diagonal/>
    </border>
    <border>
      <left style="hair">
        <color rgb="FFB7B7B7"/>
      </left>
      <right style="hair">
        <color rgb="FFB7B7B7"/>
      </right>
      <top style="hair">
        <color rgb="FFB7B7B7"/>
      </top>
      <bottom style="hair">
        <color rgb="FFB7B7B7"/>
      </bottom>
      <diagonal/>
    </border>
    <border>
      <left style="hair">
        <color rgb="FFCCCCCC"/>
      </left>
      <right style="hair">
        <color rgb="FFCCCCCC"/>
      </right>
      <top style="hair">
        <color rgb="FFCCCCCC"/>
      </top>
      <bottom style="hair">
        <color rgb="FFCCCCCC"/>
      </bottom>
      <diagonal/>
    </border>
    <border>
      <left style="hair">
        <color rgb="FFB7B7B7"/>
      </left>
      <right style="hair">
        <color rgb="FFB7B7B7"/>
      </right>
      <top style="hair">
        <color rgb="FFB7B7B7"/>
      </top>
      <bottom/>
      <diagonal/>
    </border>
    <border>
      <left style="hair">
        <color rgb="FFB7B7B7"/>
      </left>
      <right style="hair">
        <color rgb="FFB7B7B7"/>
      </right>
      <top style="hair">
        <color rgb="FFB7B7B7"/>
      </top>
      <bottom style="thin">
        <color theme="0" tint="-0.14999847407452621"/>
      </bottom>
      <diagonal/>
    </border>
  </borders>
  <cellStyleXfs count="3">
    <xf numFmtId="0" fontId="0" fillId="0" borderId="0"/>
    <xf numFmtId="0" fontId="1" fillId="0" borderId="0"/>
    <xf numFmtId="0" fontId="11" fillId="0" borderId="0" applyNumberFormat="0" applyFill="0" applyBorder="0" applyAlignment="0" applyProtection="0"/>
  </cellStyleXfs>
  <cellXfs count="107">
    <xf numFmtId="0" fontId="0" fillId="0" borderId="0" xfId="0"/>
    <xf numFmtId="0" fontId="2" fillId="0" borderId="0" xfId="1" applyFont="1" applyAlignment="1">
      <alignment horizontal="right" vertical="center"/>
    </xf>
    <xf numFmtId="0" fontId="3" fillId="0" borderId="0" xfId="1" applyFont="1" applyAlignment="1">
      <alignment vertical="center"/>
    </xf>
    <xf numFmtId="0" fontId="4" fillId="0" borderId="0" xfId="1" applyFont="1" applyAlignment="1">
      <alignment horizontal="center" vertical="center"/>
    </xf>
    <xf numFmtId="0" fontId="2" fillId="0" borderId="0" xfId="1" applyFont="1" applyAlignment="1">
      <alignment vertical="center"/>
    </xf>
    <xf numFmtId="0" fontId="5" fillId="2" borderId="0" xfId="1" applyFont="1" applyFill="1" applyAlignment="1">
      <alignment horizontal="center" vertical="center"/>
    </xf>
    <xf numFmtId="0" fontId="1" fillId="3" borderId="0" xfId="1" applyFill="1" applyAlignment="1">
      <alignment vertical="center"/>
    </xf>
    <xf numFmtId="0" fontId="6" fillId="3" borderId="0" xfId="1" applyFont="1" applyFill="1" applyAlignment="1">
      <alignment vertical="center"/>
    </xf>
    <xf numFmtId="0" fontId="6" fillId="3" borderId="0" xfId="1" applyFont="1" applyFill="1" applyAlignment="1">
      <alignment horizontal="center" vertical="center"/>
    </xf>
    <xf numFmtId="0" fontId="5" fillId="0" borderId="0" xfId="1" applyFont="1" applyAlignment="1">
      <alignment horizontal="center" vertical="center"/>
    </xf>
    <xf numFmtId="0" fontId="1" fillId="0" borderId="0" xfId="1" applyAlignment="1">
      <alignment vertical="center"/>
    </xf>
    <xf numFmtId="0" fontId="2" fillId="0" borderId="0" xfId="1" applyFont="1" applyAlignment="1">
      <alignment horizontal="center" vertical="center"/>
    </xf>
    <xf numFmtId="164" fontId="2" fillId="0" borderId="0" xfId="1" applyNumberFormat="1" applyFont="1" applyAlignment="1">
      <alignment horizontal="center" vertical="center"/>
    </xf>
    <xf numFmtId="0" fontId="2" fillId="0" borderId="0" xfId="1" applyFont="1" applyAlignment="1">
      <alignment horizontal="left" vertical="center"/>
    </xf>
    <xf numFmtId="0" fontId="7" fillId="0" borderId="0" xfId="1" applyFont="1" applyAlignment="1">
      <alignment horizontal="center" vertical="center" wrapText="1"/>
    </xf>
    <xf numFmtId="0" fontId="8" fillId="0" borderId="0" xfId="1" applyFont="1" applyAlignment="1">
      <alignment vertical="center"/>
    </xf>
    <xf numFmtId="0" fontId="8" fillId="0" borderId="0" xfId="1" applyFont="1" applyAlignment="1">
      <alignment horizontal="right" vertical="center"/>
    </xf>
    <xf numFmtId="164" fontId="8" fillId="0" borderId="0" xfId="1" applyNumberFormat="1" applyFont="1" applyAlignment="1">
      <alignment horizontal="center" vertical="center"/>
    </xf>
    <xf numFmtId="165" fontId="8" fillId="0" borderId="0" xfId="1" applyNumberFormat="1" applyFont="1" applyAlignment="1">
      <alignment horizontal="right" vertical="center"/>
    </xf>
    <xf numFmtId="0" fontId="8" fillId="0" borderId="0" xfId="1" applyFont="1" applyAlignment="1">
      <alignment horizontal="center" vertical="center"/>
    </xf>
    <xf numFmtId="166" fontId="8" fillId="4" borderId="1" xfId="1" applyNumberFormat="1" applyFont="1" applyFill="1" applyBorder="1" applyAlignment="1">
      <alignment horizontal="right" vertical="center"/>
    </xf>
    <xf numFmtId="0" fontId="9" fillId="5" borderId="0" xfId="1" applyFont="1" applyFill="1" applyAlignment="1">
      <alignment vertical="center"/>
    </xf>
    <xf numFmtId="0" fontId="4" fillId="2" borderId="0" xfId="1" applyFont="1" applyFill="1" applyAlignment="1">
      <alignment horizontal="center" vertical="center"/>
    </xf>
    <xf numFmtId="0" fontId="8" fillId="6" borderId="2" xfId="1" applyFont="1" applyFill="1" applyBorder="1" applyAlignment="1">
      <alignment horizontal="center" vertical="center"/>
    </xf>
    <xf numFmtId="0" fontId="10" fillId="6" borderId="2" xfId="1" applyFont="1" applyFill="1" applyBorder="1"/>
    <xf numFmtId="0" fontId="11" fillId="6" borderId="2" xfId="2" applyFill="1" applyBorder="1" applyAlignment="1"/>
    <xf numFmtId="164" fontId="8" fillId="6" borderId="2" xfId="1" applyNumberFormat="1" applyFont="1" applyFill="1" applyBorder="1" applyAlignment="1">
      <alignment horizontal="center" vertical="center"/>
    </xf>
    <xf numFmtId="0" fontId="10" fillId="6" borderId="2" xfId="1" applyFont="1" applyFill="1" applyBorder="1" applyAlignment="1">
      <alignment horizontal="center" vertical="center"/>
    </xf>
    <xf numFmtId="0" fontId="8" fillId="6" borderId="2" xfId="1" applyFont="1" applyFill="1" applyBorder="1" applyAlignment="1">
      <alignment horizontal="right" vertical="center"/>
    </xf>
    <xf numFmtId="0" fontId="8" fillId="6" borderId="2" xfId="1" applyFont="1" applyFill="1" applyBorder="1" applyAlignment="1">
      <alignment vertical="center"/>
    </xf>
    <xf numFmtId="0" fontId="11" fillId="6" borderId="2" xfId="2" applyFill="1" applyBorder="1" applyAlignment="1">
      <alignment vertical="center"/>
    </xf>
    <xf numFmtId="164" fontId="8" fillId="6" borderId="3" xfId="1" applyNumberFormat="1" applyFont="1" applyFill="1" applyBorder="1" applyAlignment="1">
      <alignment horizontal="center" vertical="center"/>
    </xf>
    <xf numFmtId="0" fontId="8" fillId="6" borderId="3" xfId="1" applyFont="1" applyFill="1" applyBorder="1" applyAlignment="1">
      <alignment vertical="center"/>
    </xf>
    <xf numFmtId="0" fontId="10" fillId="2" borderId="0" xfId="1" applyFont="1" applyFill="1" applyAlignment="1">
      <alignment horizontal="center" vertical="center"/>
    </xf>
    <xf numFmtId="0" fontId="12" fillId="7" borderId="2" xfId="1" applyFont="1" applyFill="1" applyBorder="1"/>
    <xf numFmtId="0" fontId="11" fillId="6" borderId="2" xfId="2" applyFill="1" applyBorder="1"/>
    <xf numFmtId="0" fontId="11" fillId="6" borderId="3" xfId="2" applyFill="1" applyBorder="1" applyAlignment="1">
      <alignment vertical="center"/>
    </xf>
    <xf numFmtId="20" fontId="8" fillId="6" borderId="2" xfId="1" applyNumberFormat="1" applyFont="1" applyFill="1" applyBorder="1" applyAlignment="1">
      <alignment horizontal="right" vertical="center"/>
    </xf>
    <xf numFmtId="0" fontId="8" fillId="6" borderId="3" xfId="1" applyFont="1" applyFill="1" applyBorder="1" applyAlignment="1">
      <alignment horizontal="right" vertical="center"/>
    </xf>
    <xf numFmtId="0" fontId="8" fillId="0" borderId="0" xfId="1" applyFont="1" applyAlignment="1">
      <alignment horizontal="left" vertical="center"/>
    </xf>
    <xf numFmtId="0" fontId="1" fillId="5" borderId="0" xfId="1" applyFill="1" applyAlignment="1">
      <alignment vertical="center"/>
    </xf>
    <xf numFmtId="0" fontId="1" fillId="0" borderId="0" xfId="1"/>
    <xf numFmtId="0" fontId="9" fillId="5" borderId="0" xfId="1" applyFont="1" applyFill="1" applyAlignment="1">
      <alignment vertical="center" wrapText="1"/>
    </xf>
    <xf numFmtId="0" fontId="11" fillId="6" borderId="4" xfId="2" applyFill="1" applyBorder="1" applyAlignment="1">
      <alignment vertical="center"/>
    </xf>
    <xf numFmtId="165" fontId="8" fillId="6" borderId="2" xfId="1" applyNumberFormat="1" applyFont="1" applyFill="1" applyBorder="1" applyAlignment="1">
      <alignment horizontal="center" vertical="center"/>
    </xf>
    <xf numFmtId="0" fontId="13" fillId="6" borderId="2" xfId="2" applyFont="1" applyFill="1" applyBorder="1" applyAlignment="1">
      <alignment vertical="center"/>
    </xf>
    <xf numFmtId="0" fontId="8" fillId="6" borderId="4" xfId="1" applyFont="1" applyFill="1" applyBorder="1" applyAlignment="1">
      <alignment vertical="center"/>
    </xf>
    <xf numFmtId="0" fontId="1" fillId="8" borderId="0" xfId="1" applyFill="1" applyAlignment="1">
      <alignment vertical="center"/>
    </xf>
    <xf numFmtId="166" fontId="8" fillId="9" borderId="0" xfId="1" applyNumberFormat="1" applyFont="1" applyFill="1" applyAlignment="1">
      <alignment horizontal="right" vertical="center"/>
    </xf>
    <xf numFmtId="0" fontId="10" fillId="9" borderId="0" xfId="1" applyFont="1" applyFill="1" applyAlignment="1">
      <alignment horizontal="center" vertical="center"/>
    </xf>
    <xf numFmtId="166" fontId="8" fillId="4" borderId="0" xfId="1" applyNumberFormat="1" applyFont="1" applyFill="1" applyAlignment="1">
      <alignment horizontal="right" vertical="center"/>
    </xf>
    <xf numFmtId="0" fontId="14" fillId="10" borderId="0" xfId="1" applyFont="1" applyFill="1"/>
    <xf numFmtId="0" fontId="2" fillId="8" borderId="0" xfId="1" applyFont="1" applyFill="1" applyAlignment="1">
      <alignment vertical="center"/>
    </xf>
    <xf numFmtId="0" fontId="8" fillId="8" borderId="0" xfId="1" applyFont="1" applyFill="1" applyAlignment="1">
      <alignment vertical="center"/>
    </xf>
    <xf numFmtId="0" fontId="13" fillId="6" borderId="2" xfId="2" applyFont="1" applyFill="1" applyBorder="1"/>
    <xf numFmtId="0" fontId="13" fillId="6" borderId="2" xfId="2" applyFont="1" applyFill="1" applyBorder="1" applyAlignment="1">
      <alignment horizontal="left" vertical="center" wrapText="1"/>
    </xf>
    <xf numFmtId="0" fontId="8" fillId="6" borderId="2" xfId="1" quotePrefix="1" applyFont="1" applyFill="1" applyBorder="1" applyAlignment="1">
      <alignment vertical="center"/>
    </xf>
    <xf numFmtId="0" fontId="11" fillId="11" borderId="0" xfId="2" applyFill="1" applyAlignment="1">
      <alignment vertical="center"/>
    </xf>
    <xf numFmtId="0" fontId="10" fillId="6" borderId="2" xfId="1" applyFont="1" applyFill="1" applyBorder="1" applyAlignment="1">
      <alignment horizontal="right" vertical="center"/>
    </xf>
    <xf numFmtId="0" fontId="10" fillId="6" borderId="2" xfId="1" applyFont="1" applyFill="1" applyBorder="1" applyAlignment="1">
      <alignment horizontal="left" vertical="center"/>
    </xf>
    <xf numFmtId="0" fontId="9" fillId="0" borderId="0" xfId="1" applyFont="1" applyAlignment="1">
      <alignment vertical="center"/>
    </xf>
    <xf numFmtId="0" fontId="10" fillId="9" borderId="0" xfId="1" applyFont="1" applyFill="1" applyAlignment="1">
      <alignment vertical="center"/>
    </xf>
    <xf numFmtId="0" fontId="15" fillId="12" borderId="2" xfId="1" applyFont="1" applyFill="1" applyBorder="1"/>
    <xf numFmtId="0" fontId="13" fillId="6" borderId="5" xfId="2" applyFont="1" applyFill="1" applyBorder="1" applyAlignment="1">
      <alignment vertical="center"/>
    </xf>
    <xf numFmtId="0" fontId="3" fillId="0" borderId="0" xfId="1" applyFont="1" applyAlignment="1">
      <alignment vertical="center" wrapText="1"/>
    </xf>
    <xf numFmtId="0" fontId="10" fillId="6" borderId="2" xfId="1" applyFont="1" applyFill="1" applyBorder="1" applyAlignment="1">
      <alignment vertical="center"/>
    </xf>
    <xf numFmtId="0" fontId="11" fillId="6" borderId="2" xfId="2" applyFill="1" applyBorder="1" applyAlignment="1">
      <alignment vertical="center" wrapText="1"/>
    </xf>
    <xf numFmtId="0" fontId="13" fillId="6" borderId="2" xfId="2" applyFont="1" applyFill="1" applyBorder="1" applyAlignment="1">
      <alignment vertical="center" wrapText="1"/>
    </xf>
    <xf numFmtId="0" fontId="8" fillId="6" borderId="2" xfId="1" applyFont="1" applyFill="1" applyBorder="1" applyAlignment="1">
      <alignment vertical="center" wrapText="1"/>
    </xf>
    <xf numFmtId="0" fontId="13" fillId="6" borderId="2" xfId="2" applyFont="1" applyFill="1" applyBorder="1" applyAlignment="1">
      <alignment horizontal="left" vertical="top"/>
    </xf>
    <xf numFmtId="0" fontId="16" fillId="0" borderId="0" xfId="1" applyFont="1" applyAlignment="1">
      <alignment vertical="center"/>
    </xf>
    <xf numFmtId="0" fontId="17" fillId="13" borderId="2" xfId="1" applyFont="1" applyFill="1" applyBorder="1"/>
    <xf numFmtId="0" fontId="11" fillId="6" borderId="2" xfId="2" applyFill="1" applyBorder="1" applyAlignment="1">
      <alignment horizontal="left" vertical="top"/>
    </xf>
    <xf numFmtId="0" fontId="11" fillId="14" borderId="0" xfId="2" applyFill="1"/>
    <xf numFmtId="0" fontId="0" fillId="6" borderId="2" xfId="2" applyFont="1" applyFill="1" applyBorder="1" applyAlignment="1">
      <alignment vertical="center"/>
    </xf>
    <xf numFmtId="0" fontId="8" fillId="6" borderId="2" xfId="1" quotePrefix="1" applyFont="1" applyFill="1" applyBorder="1" applyAlignment="1">
      <alignment horizontal="right" vertical="center"/>
    </xf>
    <xf numFmtId="0" fontId="18" fillId="6" borderId="2" xfId="2" applyFont="1" applyFill="1" applyBorder="1" applyAlignment="1">
      <alignment vertical="center"/>
    </xf>
    <xf numFmtId="0" fontId="2" fillId="9" borderId="0" xfId="1" applyFont="1" applyFill="1" applyAlignment="1">
      <alignment vertical="center"/>
    </xf>
    <xf numFmtId="0" fontId="19" fillId="15" borderId="2" xfId="1" applyFont="1" applyFill="1" applyBorder="1" applyAlignment="1">
      <alignment vertical="center"/>
    </xf>
    <xf numFmtId="0" fontId="11" fillId="6" borderId="5" xfId="2" applyFill="1" applyBorder="1" applyAlignment="1">
      <alignment vertical="center"/>
    </xf>
    <xf numFmtId="0" fontId="11" fillId="6" borderId="2" xfId="2" applyFill="1" applyBorder="1" applyAlignment="1">
      <alignment horizontal="left" vertical="center"/>
    </xf>
    <xf numFmtId="0" fontId="19" fillId="15" borderId="2" xfId="1" applyFont="1" applyFill="1" applyBorder="1"/>
    <xf numFmtId="0" fontId="11" fillId="0" borderId="0" xfId="2" applyAlignment="1">
      <alignment vertical="center"/>
    </xf>
    <xf numFmtId="0" fontId="9" fillId="0" borderId="0" xfId="1" applyFont="1" applyAlignment="1">
      <alignment vertical="center" wrapText="1"/>
    </xf>
    <xf numFmtId="0" fontId="9" fillId="11" borderId="0" xfId="1" applyFont="1" applyFill="1" applyAlignment="1">
      <alignment vertical="center"/>
    </xf>
    <xf numFmtId="0" fontId="20" fillId="6" borderId="2" xfId="2" applyFont="1" applyFill="1" applyBorder="1" applyAlignment="1">
      <alignment vertical="center"/>
    </xf>
    <xf numFmtId="0" fontId="13" fillId="6" borderId="2" xfId="2" quotePrefix="1" applyFont="1" applyFill="1" applyBorder="1" applyAlignment="1">
      <alignment vertical="center"/>
    </xf>
    <xf numFmtId="0" fontId="21" fillId="11" borderId="0" xfId="1" applyFont="1" applyFill="1" applyAlignment="1">
      <alignment horizontal="left" vertical="center"/>
    </xf>
    <xf numFmtId="0" fontId="0" fillId="6" borderId="5" xfId="2" applyFont="1" applyFill="1" applyBorder="1" applyAlignment="1">
      <alignment vertical="center"/>
    </xf>
    <xf numFmtId="20" fontId="10" fillId="6" borderId="2" xfId="1" applyNumberFormat="1" applyFont="1" applyFill="1" applyBorder="1" applyAlignment="1">
      <alignment horizontal="right" vertical="center"/>
    </xf>
    <xf numFmtId="0" fontId="10" fillId="6" borderId="2" xfId="1" applyFont="1" applyFill="1" applyBorder="1" applyAlignment="1">
      <alignment horizontal="left" vertical="center" wrapText="1"/>
    </xf>
    <xf numFmtId="0" fontId="3" fillId="11" borderId="0" xfId="1" applyFont="1" applyFill="1" applyAlignment="1">
      <alignment vertical="center"/>
    </xf>
    <xf numFmtId="0" fontId="21" fillId="11" borderId="0" xfId="1" applyFont="1" applyFill="1" applyAlignment="1">
      <alignment vertical="center"/>
    </xf>
    <xf numFmtId="0" fontId="11" fillId="6" borderId="2" xfId="2" quotePrefix="1" applyFill="1" applyBorder="1" applyAlignment="1">
      <alignment vertical="center"/>
    </xf>
    <xf numFmtId="0" fontId="11" fillId="6" borderId="4" xfId="2" applyFill="1" applyBorder="1" applyAlignment="1">
      <alignment vertical="top" wrapText="1"/>
    </xf>
    <xf numFmtId="0" fontId="11" fillId="6" borderId="2" xfId="2" applyFill="1" applyBorder="1" applyAlignment="1">
      <alignment horizontal="left" vertical="top" wrapText="1"/>
    </xf>
    <xf numFmtId="0" fontId="1" fillId="6" borderId="2" xfId="2" applyFont="1" applyFill="1" applyBorder="1" applyAlignment="1">
      <alignment vertical="center"/>
    </xf>
    <xf numFmtId="20" fontId="8" fillId="6" borderId="2" xfId="1" applyNumberFormat="1" applyFont="1" applyFill="1" applyBorder="1" applyAlignment="1">
      <alignment vertical="center"/>
    </xf>
    <xf numFmtId="0" fontId="11" fillId="6" borderId="2" xfId="2" applyFill="1" applyBorder="1" applyAlignment="1">
      <alignment horizontal="right" vertical="center"/>
    </xf>
    <xf numFmtId="0" fontId="22" fillId="0" borderId="0" xfId="1" applyFont="1" applyAlignment="1">
      <alignment vertical="center"/>
    </xf>
    <xf numFmtId="0" fontId="6" fillId="0" borderId="0" xfId="1" applyFont="1"/>
    <xf numFmtId="0" fontId="8" fillId="6" borderId="2" xfId="1" applyFont="1" applyFill="1" applyBorder="1" applyAlignment="1">
      <alignment vertical="top" wrapText="1"/>
    </xf>
    <xf numFmtId="0" fontId="11" fillId="6" borderId="2" xfId="2" applyFill="1" applyBorder="1" applyAlignment="1">
      <alignment vertical="top"/>
    </xf>
    <xf numFmtId="0" fontId="9" fillId="0" borderId="0" xfId="1" applyFont="1" applyAlignment="1">
      <alignment horizontal="right" vertical="center"/>
    </xf>
    <xf numFmtId="164" fontId="1" fillId="0" borderId="0" xfId="1" applyNumberFormat="1" applyAlignment="1">
      <alignment vertical="center"/>
    </xf>
    <xf numFmtId="0" fontId="1" fillId="0" borderId="0" xfId="1" applyAlignment="1">
      <alignment horizontal="right" vertical="center"/>
    </xf>
    <xf numFmtId="0" fontId="23" fillId="0" borderId="0" xfId="1" applyFont="1" applyAlignment="1">
      <alignment vertical="center"/>
    </xf>
  </cellXfs>
  <cellStyles count="3">
    <cellStyle name="Hyperlink 2" xfId="2" xr:uid="{B8126D7E-EBD5-CF48-AF64-9CA3CECC8CA5}"/>
    <cellStyle name="Standaard" xfId="0" builtinId="0"/>
    <cellStyle name="Standaard 2" xfId="1" xr:uid="{C4E76B39-C571-AC43-91B8-D69E7B77E7B0}"/>
  </cellStyles>
  <dxfs count="6526">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rgb="FFFF0088"/>
      </font>
    </dxf>
    <dxf>
      <fill>
        <patternFill patternType="solid">
          <fgColor rgb="FFD6ECE2"/>
          <bgColor rgb="FFD6ECE2"/>
        </patternFill>
      </fill>
    </dxf>
    <dxf>
      <font>
        <color theme="0"/>
      </font>
      <fill>
        <patternFill patternType="solid">
          <bgColor rgb="FF1EB477"/>
        </patternFill>
      </fill>
    </dxf>
    <dxf>
      <font>
        <color theme="1"/>
      </font>
      <fill>
        <patternFill patternType="solid">
          <bgColor theme="6" tint="0.59999389629810485"/>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fgColor rgb="FFD6ECE2"/>
          <bgColor rgb="FFD6ECE2"/>
        </patternFill>
      </fill>
    </dxf>
    <dxf>
      <font>
        <color theme="0" tint="-4.9989318521683403E-2"/>
      </font>
    </dxf>
    <dxf>
      <font>
        <color rgb="FFFF0088"/>
      </font>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ont>
        <color theme="1"/>
      </font>
      <fill>
        <patternFill patternType="solid">
          <bgColor rgb="FFFFAEA8"/>
        </patternFill>
      </fill>
    </dxf>
    <dxf>
      <font>
        <color theme="1"/>
      </font>
      <fill>
        <patternFill patternType="solid">
          <bgColor rgb="FFFFAEA8"/>
        </patternFill>
      </fill>
    </dxf>
    <dxf>
      <font>
        <color theme="1"/>
      </font>
      <fill>
        <patternFill patternType="solid">
          <bgColor rgb="FFFFAEA8"/>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EDF6"/>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9C0006"/>
      </font>
      <fill>
        <patternFill patternType="solid">
          <bgColor rgb="FFFFEDF6"/>
        </patternFill>
      </fill>
    </dxf>
    <dxf>
      <fill>
        <patternFill patternType="solid">
          <fgColor rgb="FFD6ECE2"/>
          <bgColor rgb="FFD6ECE2"/>
        </patternFill>
      </fill>
    </dxf>
    <dxf>
      <font>
        <color theme="0" tint="-4.9989318521683403E-2"/>
      </font>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ont>
        <color rgb="FF9C0006"/>
      </font>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D6E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9C0006"/>
      </font>
      <fill>
        <patternFill patternType="solid">
          <bgColor rgb="FFFFD6EC"/>
        </patternFill>
      </fill>
    </dxf>
    <dxf>
      <fill>
        <patternFill patternType="solid">
          <fgColor rgb="FFD6ECE2"/>
          <bgColor rgb="FFD6ECE2"/>
        </patternFill>
      </fill>
    </dxf>
    <dxf>
      <font>
        <color theme="0" tint="-4.9989318521683403E-2"/>
      </font>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ont>
        <color rgb="FF9C0006"/>
      </font>
      <fill>
        <patternFill patternType="solid">
          <bgColor rgb="FFFFD6EC"/>
        </patternFill>
      </fill>
    </dxf>
    <dxf>
      <fill>
        <patternFill patternType="solid">
          <bgColor rgb="FFFFD6E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FF0088"/>
      </font>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DEEAFF"/>
        </patternFill>
      </fill>
    </dxf>
    <dxf>
      <font>
        <color theme="8" tint="-0.499984740745262"/>
      </font>
      <fill>
        <patternFill patternType="solid">
          <bgColor theme="8" tint="0.79998168889431442"/>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fgColor rgb="FFD6ECE2"/>
          <bgColor rgb="FFD6ECE2"/>
        </patternFill>
      </fill>
    </dxf>
    <dxf>
      <font>
        <color theme="0" tint="-4.9989318521683403E-2"/>
      </font>
    </dxf>
    <dxf>
      <font>
        <color theme="4" tint="-0.499984740745262"/>
      </font>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ont>
        <color theme="4" tint="-0.499984740745262"/>
      </font>
      <fill>
        <patternFill patternType="solid">
          <bgColor rgb="FFDEEAFF"/>
        </patternFill>
      </fill>
    </dxf>
    <dxf>
      <font>
        <color theme="0" tint="-4.9989318521683403E-2"/>
      </font>
    </dxf>
    <dxf>
      <font>
        <color rgb="FFFF0088"/>
      </font>
    </dxf>
    <dxf>
      <font>
        <color theme="0" tint="-4.9989318521683403E-2"/>
      </font>
    </dxf>
    <dxf>
      <font>
        <color rgb="FFFF0088"/>
      </font>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ont>
        <color theme="0" tint="-4.9989318521683403E-2"/>
      </font>
    </dxf>
    <dxf>
      <fill>
        <patternFill patternType="solid">
          <fgColor rgb="FFD6ECE2"/>
          <bgColor rgb="FFD6ECE2"/>
        </patternFill>
      </fill>
    </dxf>
    <dxf>
      <font>
        <color theme="0" tint="-4.9989318521683403E-2"/>
      </font>
    </dxf>
    <dxf>
      <fill>
        <patternFill patternType="solid">
          <fgColor rgb="FFD6ECE2"/>
          <bgColor rgb="FFD6ECE2"/>
        </patternFill>
      </fill>
    </dxf>
    <dxf>
      <font>
        <color theme="8" tint="-0.499984740745262"/>
      </font>
      <fill>
        <patternFill patternType="solid">
          <bgColor theme="8" tint="0.79998168889431442"/>
        </patternFill>
      </fill>
    </dxf>
    <dxf>
      <fill>
        <patternFill patternType="solid">
          <fgColor rgb="FFD6ECE2"/>
          <bgColor rgb="FFD6ECE2"/>
        </patternFill>
      </fill>
    </dxf>
    <dxf>
      <font>
        <color theme="0" tint="-4.9989318521683403E-2"/>
      </font>
    </dxf>
    <dxf>
      <fill>
        <patternFill patternType="solid">
          <fgColor rgb="FFD6ECE2"/>
          <bgColor rgb="FFD6ECE2"/>
        </patternFill>
      </fill>
    </dxf>
    <dxf>
      <font>
        <color rgb="FFFF0088"/>
      </font>
    </dxf>
    <dxf>
      <font>
        <color theme="0" tint="-4.9989318521683403E-2"/>
      </font>
    </dxf>
    <dxf>
      <fill>
        <patternFill patternType="solid">
          <fgColor rgb="FFD6ECE2"/>
          <bgColor rgb="FFD6ECE2"/>
        </patternFill>
      </fill>
    </dxf>
    <dxf>
      <font>
        <color rgb="FFFF0088"/>
      </font>
    </dxf>
    <dxf>
      <font>
        <color theme="0" tint="-4.9989318521683403E-2"/>
      </font>
    </dxf>
    <dxf>
      <fill>
        <patternFill patternType="solid">
          <fgColor rgb="FFD6ECE2"/>
          <bgColor rgb="FFD6ECE2"/>
        </patternFill>
      </fill>
    </dxf>
    <dxf>
      <font>
        <color rgb="FFFF0088"/>
      </font>
    </dxf>
    <dxf>
      <fill>
        <patternFill patternType="solid">
          <fgColor rgb="FFD6ECE2"/>
          <bgColor rgb="FFD6ECE2"/>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4" tint="-0.499984740745262"/>
      </font>
      <fill>
        <patternFill patternType="solid">
          <bgColor rgb="FFDEEAFF"/>
        </patternFill>
      </fill>
    </dxf>
    <dxf>
      <fill>
        <patternFill patternType="solid">
          <fgColor rgb="FFD6ECE2"/>
          <bgColor rgb="FFD6ECE2"/>
        </patternFill>
      </fill>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4" tint="-0.499984740745262"/>
      </font>
      <fill>
        <patternFill patternType="solid">
          <bgColor rgb="FFDEEAFF"/>
        </patternFill>
      </fill>
    </dxf>
    <dxf>
      <fill>
        <patternFill patternType="solid">
          <fgColor rgb="FFD6ECE2"/>
          <bgColor rgb="FFD6ECE2"/>
        </patternFill>
      </fill>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4" tint="-0.499984740745262"/>
      </font>
      <fill>
        <patternFill patternType="solid">
          <bgColor rgb="FFDEEAFF"/>
        </patternFill>
      </fill>
    </dxf>
    <dxf>
      <fill>
        <patternFill patternType="solid">
          <fgColor rgb="FFD6ECE2"/>
          <bgColor rgb="FFD6ECE2"/>
        </patternFill>
      </fill>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0" tint="-4.9989318521683403E-2"/>
      </font>
    </dxf>
    <dxf>
      <font>
        <color rgb="FFFF0088"/>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theme="8" tint="-0.499984740745262"/>
      </font>
      <fill>
        <patternFill patternType="solid">
          <bgColor theme="8" tint="0.79998168889431442"/>
        </patternFill>
      </fill>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theme="0" tint="-4.9989318521683403E-2"/>
      </font>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rgb="FFFF0088"/>
      </font>
    </dxf>
    <dxf>
      <font>
        <color theme="0" tint="-4.9989318521683403E-2"/>
      </font>
    </dxf>
    <dxf>
      <font>
        <color rgb="FFFF0088"/>
      </font>
    </dxf>
    <dxf>
      <font>
        <color rgb="FFFF0088"/>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ill>
        <patternFill patternType="solid">
          <fgColor rgb="FFD6ECE2"/>
          <bgColor rgb="FFD6ECE2"/>
        </patternFill>
      </fill>
    </dxf>
    <dxf>
      <font>
        <color rgb="FFFF0088"/>
      </font>
    </dxf>
    <dxf>
      <font>
        <color rgb="FFFF0088"/>
      </font>
    </dxf>
    <dxf>
      <font>
        <color rgb="FFFF0088"/>
      </font>
    </dxf>
    <dxf>
      <font>
        <color rgb="FFFF0088"/>
      </font>
    </dxf>
    <dxf>
      <font>
        <color theme="0" tint="-4.9989318521683403E-2"/>
      </font>
    </dxf>
    <dxf>
      <font>
        <color rgb="FFFF0088"/>
      </font>
    </dxf>
    <dxf>
      <font>
        <color rgb="FFFF0088"/>
      </font>
    </dxf>
    <dxf>
      <font>
        <color rgb="FFFF0088"/>
      </font>
    </dxf>
    <dxf>
      <font>
        <color rgb="FFFF0088"/>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theme="0" tint="-4.9989318521683403E-2"/>
      </font>
    </dxf>
    <dxf>
      <fill>
        <patternFill patternType="solid">
          <fgColor rgb="FFB7E1CD"/>
          <bgColor rgb="FFB7E1CD"/>
        </patternFill>
      </fill>
    </dxf>
    <dxf>
      <font>
        <color theme="0" tint="-4.9989318521683403E-2"/>
      </font>
    </dxf>
    <dxf>
      <font>
        <color rgb="FFFF0088"/>
      </font>
    </dxf>
    <dxf>
      <font>
        <color theme="8" tint="-0.499984740745262"/>
      </font>
      <fill>
        <patternFill patternType="solid">
          <bgColor theme="8" tint="0.79998168889431442"/>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0" tint="-4.9989318521683403E-2"/>
      </font>
    </dxf>
    <dxf>
      <font>
        <color theme="0" tint="-4.9989318521683403E-2"/>
      </font>
    </dxf>
    <dxf>
      <font>
        <color theme="4" tint="-0.499984740745262"/>
      </font>
      <fill>
        <patternFill patternType="solid">
          <bgColor rgb="FFDEEAFF"/>
        </patternFill>
      </fill>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rgb="FFFF0088"/>
      </font>
    </dxf>
    <dxf>
      <font>
        <color theme="0" tint="-4.9989318521683403E-2"/>
      </font>
    </dxf>
    <dxf>
      <font>
        <color theme="0" tint="-4.9989318521683403E-2"/>
      </font>
    </dxf>
    <dxf>
      <fill>
        <patternFill patternType="solid">
          <fgColor rgb="FFD6ECE2"/>
          <bgColor rgb="FFD6ECE2"/>
        </patternFill>
      </fill>
    </dxf>
    <dxf>
      <font>
        <color rgb="FFFF0088"/>
      </font>
    </dxf>
    <dxf>
      <font>
        <color theme="8" tint="-0.499984740745262"/>
      </font>
      <fill>
        <patternFill patternType="solid">
          <bgColor theme="8" tint="0.79998168889431442"/>
        </patternFill>
      </fill>
    </dxf>
    <dxf>
      <fill>
        <patternFill patternType="solid">
          <fgColor rgb="FFD6ECE2"/>
          <bgColor rgb="FFD6ECE2"/>
        </patternFill>
      </fill>
    </dxf>
    <dxf>
      <font>
        <color theme="8" tint="-0.499984740745262"/>
      </font>
      <fill>
        <patternFill patternType="solid">
          <bgColor theme="8" tint="0.79998168889431442"/>
        </patternFill>
      </fill>
    </dxf>
    <dxf>
      <fill>
        <patternFill patternType="solid">
          <fgColor rgb="FFD6ECE2"/>
          <bgColor rgb="FFD6ECE2"/>
        </patternFill>
      </fill>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tint="-4.9989318521683403E-2"/>
      </font>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1"/>
      </font>
      <fill>
        <patternFill patternType="solid">
          <bgColor theme="6" tint="0.59999389629810485"/>
        </patternFill>
      </fill>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1"/>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0" tint="-4.9989318521683403E-2"/>
      </font>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fgColor rgb="FFD6ECE2"/>
          <bgColor rgb="FFD6ECE2"/>
        </patternFill>
      </fill>
    </dxf>
    <dxf>
      <font>
        <color theme="0" tint="-4.9989318521683403E-2"/>
      </font>
    </dxf>
    <dxf>
      <font>
        <color rgb="FFFF0088"/>
      </font>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ill>
        <patternFill patternType="solid">
          <bgColor rgb="FFFFE1CC"/>
        </patternFill>
      </fill>
    </dxf>
    <dxf>
      <font>
        <color theme="1"/>
      </font>
      <fill>
        <patternFill patternType="solid">
          <bgColor rgb="FFFFAEA8"/>
        </patternFill>
      </fill>
    </dxf>
    <dxf>
      <font>
        <color theme="0" tint="-4.9989318521683403E-2"/>
      </font>
    </dxf>
    <dxf>
      <font>
        <color rgb="FFFF0088"/>
      </font>
    </dxf>
    <dxf>
      <fill>
        <patternFill patternType="solid">
          <bgColor rgb="FFFFE1CC"/>
        </patternFill>
      </fill>
    </dxf>
    <dxf>
      <fill>
        <patternFill patternType="solid">
          <fgColor rgb="FFD6ECE2"/>
          <bgColor rgb="FFD6ECE2"/>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EDF6"/>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9C0006"/>
      </font>
      <fill>
        <patternFill patternType="solid">
          <bgColor rgb="FFFFEDF6"/>
        </patternFill>
      </fill>
    </dxf>
    <dxf>
      <fill>
        <patternFill patternType="solid">
          <fgColor rgb="FFD6ECE2"/>
          <bgColor rgb="FFD6ECE2"/>
        </patternFill>
      </fill>
    </dxf>
    <dxf>
      <font>
        <color theme="0" tint="-4.9989318521683403E-2"/>
      </font>
    </dxf>
    <dxf>
      <font>
        <color theme="0"/>
      </font>
      <fill>
        <patternFill patternType="solid">
          <bgColor rgb="FF1EB477"/>
        </patternFill>
      </fill>
    </dxf>
    <dxf>
      <font>
        <color theme="1"/>
      </font>
      <fill>
        <patternFill patternType="solid">
          <bgColor theme="6" tint="0.59999389629810485"/>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EDF6"/>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D6E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9C0006"/>
      </font>
      <fill>
        <patternFill patternType="solid">
          <bgColor rgb="FFFFD6EC"/>
        </patternFill>
      </fill>
    </dxf>
    <dxf>
      <fill>
        <patternFill patternType="solid">
          <fgColor rgb="FFD6ECE2"/>
          <bgColor rgb="FFD6ECE2"/>
        </patternFill>
      </fill>
    </dxf>
    <dxf>
      <font>
        <color theme="0" tint="-4.9989318521683403E-2"/>
      </font>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ill>
        <patternFill patternType="solid">
          <bgColor rgb="FFFFD6E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ill>
        <patternFill patternType="solid">
          <bgColor rgb="FFDEEAFF"/>
        </patternFill>
      </fill>
    </dxf>
    <dxf>
      <font>
        <color theme="0"/>
      </font>
      <fill>
        <patternFill patternType="solid">
          <bgColor rgb="FF1EB477"/>
        </patternFill>
      </fill>
    </dxf>
    <dxf>
      <font>
        <color theme="1"/>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DEEAFF"/>
        </patternFill>
      </fill>
    </dxf>
    <dxf>
      <fill>
        <patternFill patternType="solid">
          <bgColor rgb="FFDEEAFF"/>
        </patternFill>
      </fill>
    </dxf>
    <dxf>
      <font>
        <color theme="8" tint="-0.499984740745262"/>
      </font>
      <fill>
        <patternFill patternType="solid">
          <bgColor theme="8" tint="0.79998168889431442"/>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fgColor rgb="FFD6ECE2"/>
          <bgColor rgb="FFD6ECE2"/>
        </patternFill>
      </fill>
    </dxf>
    <dxf>
      <font>
        <color theme="0" tint="-4.9989318521683403E-2"/>
      </font>
    </dxf>
    <dxf>
      <font>
        <color theme="4" tint="-0.499984740745262"/>
      </font>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ill>
        <patternFill patternType="solid">
          <bgColor rgb="FFDEEAFF"/>
        </patternFill>
      </fill>
    </dxf>
    <dxf>
      <font>
        <color rgb="FFFF0088"/>
      </font>
    </dxf>
    <dxf>
      <font>
        <color rgb="FFFF0088"/>
      </font>
    </dxf>
    <dxf>
      <font>
        <color theme="0" tint="-4.9989318521683403E-2"/>
      </font>
    </dxf>
    <dxf>
      <font>
        <color rgb="FFFF0088"/>
      </font>
    </dxf>
    <dxf>
      <font>
        <color rgb="FFFF0088"/>
      </font>
    </dxf>
    <dxf>
      <font>
        <color theme="0" tint="-4.9989318521683403E-2"/>
      </font>
    </dxf>
    <dxf>
      <font>
        <color theme="0" tint="-4.9989318521683403E-2"/>
      </font>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ont>
        <color theme="0" tint="-4.9989318521683403E-2"/>
      </font>
    </dxf>
    <dxf>
      <font>
        <color rgb="FFFF0088"/>
      </font>
    </dxf>
    <dxf>
      <fill>
        <patternFill patternType="solid">
          <fgColor rgb="FFD6ECE2"/>
          <bgColor rgb="FFD6ECE2"/>
        </patternFill>
      </fill>
    </dxf>
    <dxf>
      <fill>
        <patternFill patternType="solid">
          <fgColor rgb="FFD6ECE2"/>
          <bgColor rgb="FFD6ECE2"/>
        </patternFill>
      </fill>
    </dxf>
    <dxf>
      <font>
        <color theme="0" tint="-4.9989318521683403E-2"/>
      </font>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DEEAFF"/>
        </patternFill>
      </fill>
    </dxf>
    <dxf>
      <font>
        <color theme="4" tint="-0.499984740745262"/>
      </font>
      <fill>
        <patternFill patternType="solid">
          <bgColor rgb="FFDEEAFF"/>
        </patternFill>
      </fill>
    </dxf>
    <dxf>
      <font>
        <color rgb="FFFF0088"/>
      </font>
    </dxf>
    <dxf>
      <fill>
        <patternFill patternType="solid">
          <fgColor rgb="FFD6ECE2"/>
          <bgColor rgb="FFD6ECE2"/>
        </patternFill>
      </fill>
    </dxf>
    <dxf>
      <font>
        <color theme="0" tint="-4.9989318521683403E-2"/>
      </font>
    </dxf>
    <dxf>
      <fill>
        <patternFill patternType="solid">
          <fgColor rgb="FFD6ECE2"/>
          <bgColor rgb="FFD6ECE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0" tint="-4.9989318521683403E-2"/>
      </font>
    </dxf>
    <dxf>
      <font>
        <color theme="0" tint="-4.9989318521683403E-2"/>
      </font>
    </dxf>
    <dxf>
      <font>
        <color theme="0" tint="-4.9989318521683403E-2"/>
      </font>
    </dxf>
    <dxf>
      <font>
        <color rgb="FFFF0088"/>
      </font>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rgb="FFFF0088"/>
      </font>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ill>
        <patternFill patternType="solid">
          <fgColor rgb="FFD6ECE2"/>
          <bgColor rgb="FFD6ECE2"/>
        </patternFill>
      </fill>
    </dxf>
    <dxf>
      <font>
        <color theme="0" tint="-4.9989318521683403E-2"/>
      </font>
    </dxf>
    <dxf>
      <fill>
        <patternFill patternType="solid">
          <fgColor rgb="FFD6ECE2"/>
          <bgColor rgb="FFD6ECE2"/>
        </patternFill>
      </fill>
    </dxf>
    <dxf>
      <font>
        <color theme="0" tint="-4.9989318521683403E-2"/>
      </font>
    </dxf>
    <dxf>
      <font>
        <color theme="0" tint="-4.9989318521683403E-2"/>
      </font>
    </dxf>
    <dxf>
      <font>
        <color rgb="FFFF0088"/>
      </font>
    </dxf>
    <dxf>
      <font>
        <color theme="0" tint="-4.9989318521683403E-2"/>
      </font>
    </dxf>
    <dxf>
      <font>
        <color theme="0" tint="-4.9989318521683403E-2"/>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0" tint="-4.9989318521683403E-2"/>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ill>
        <patternFill patternType="solid">
          <fgColor rgb="FFD6ECE2"/>
          <bgColor rgb="FFD6ECE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ill>
        <patternFill patternType="solid">
          <fgColor rgb="FFD6ECE2"/>
          <bgColor rgb="FFD6ECE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8" tint="-0.499984740745262"/>
      </font>
      <fill>
        <patternFill patternType="solid">
          <bgColor theme="8" tint="0.79998168889431442"/>
        </patternFill>
      </fill>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FF0088"/>
      </font>
    </dxf>
    <dxf>
      <font>
        <color rgb="FFFF0088"/>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theme="0" tint="-4.9989318521683403E-2"/>
      </font>
    </dxf>
    <dxf>
      <font>
        <color theme="0" tint="-4.9989318521683403E-2"/>
      </font>
    </dxf>
    <dxf>
      <font>
        <color theme="0" tint="-4.9989318521683403E-2"/>
      </font>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ill>
        <patternFill patternType="solid">
          <fgColor rgb="FFD6ECE2"/>
          <bgColor rgb="FFD6ECE2"/>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FF0088"/>
      </font>
    </dxf>
    <dxf>
      <font>
        <color theme="0" tint="-4.9989318521683403E-2"/>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rgb="FFFF0088"/>
      </font>
    </dxf>
    <dxf>
      <font>
        <color theme="0" tint="-4.9989318521683403E-2"/>
      </font>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tint="-4.9989318521683403E-2"/>
      </font>
    </dxf>
    <dxf>
      <font>
        <color rgb="FFFF0088"/>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tint="-4.9989318521683403E-2"/>
      </font>
    </dxf>
    <dxf>
      <font>
        <color rgb="FFFF0088"/>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tint="-4.9989318521683403E-2"/>
      </font>
    </dxf>
    <dxf>
      <font>
        <color rgb="FFFF0088"/>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tint="-4.9989318521683403E-2"/>
      </font>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6" tint="-0.499984740745262"/>
      </font>
      <fill>
        <patternFill patternType="solid">
          <bgColor theme="6" tint="0.59999389629810485"/>
        </patternFill>
      </fill>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0" tint="-4.9989318521683403E-2"/>
      </font>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6" tint="-0.499984740745262"/>
      </font>
      <fill>
        <patternFill patternType="solid">
          <bgColor theme="6" tint="0.59999389629810485"/>
        </patternFill>
      </fill>
    </dxf>
    <dxf>
      <font>
        <color theme="0" tint="-4.9989318521683403E-2"/>
      </font>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tint="-4.9989318521683403E-2"/>
      </font>
    </dxf>
    <dxf>
      <font>
        <color rgb="FFFF0088"/>
      </font>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6" tint="-0.499984740745262"/>
      </font>
      <fill>
        <patternFill patternType="solid">
          <bgColor theme="6" tint="0.59999389629810485"/>
        </patternFill>
      </fill>
    </dxf>
    <dxf>
      <font>
        <color rgb="FFFF0088"/>
      </font>
    </dxf>
    <dxf>
      <font>
        <color theme="6" tint="-0.499984740745262"/>
      </font>
      <fill>
        <patternFill patternType="solid">
          <bgColor theme="6" tint="0.59999389629810485"/>
        </patternFill>
      </fill>
    </dxf>
    <dxf>
      <font>
        <color theme="0"/>
      </font>
      <fill>
        <patternFill patternType="solid">
          <bgColor rgb="FF00B050"/>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0"/>
      </font>
      <fill>
        <patternFill patternType="solid">
          <bgColor rgb="FFFA8241"/>
        </patternFill>
      </fill>
    </dxf>
    <dxf>
      <font>
        <color theme="0" tint="-4.9989318521683403E-2"/>
      </font>
    </dxf>
    <dxf>
      <font>
        <color rgb="FFFF0088"/>
      </font>
    </dxf>
    <dxf>
      <font>
        <color theme="0" tint="-4.9989318521683403E-2"/>
      </font>
    </dxf>
    <dxf>
      <font>
        <color rgb="FFFF0088"/>
      </font>
    </dxf>
    <dxf>
      <fill>
        <patternFill patternType="solid">
          <fgColor rgb="FFD6ECE2"/>
          <bgColor rgb="FFD6ECE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font>
      <fill>
        <patternFill patternType="solid">
          <bgColor rgb="FF1EB477"/>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fgColor rgb="FFD6ECE2"/>
          <bgColor rgb="FFD6ECE2"/>
        </patternFill>
      </fill>
    </dxf>
    <dxf>
      <font>
        <color theme="0" tint="-4.9989318521683403E-2"/>
      </font>
    </dxf>
    <dxf>
      <font>
        <color rgb="FFFF0088"/>
      </font>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ill>
        <patternFill patternType="solid">
          <bgColor rgb="FFFFE1CC"/>
        </patternFill>
      </fill>
    </dxf>
    <dxf>
      <font>
        <color theme="1"/>
      </font>
      <fill>
        <patternFill patternType="solid">
          <bgColor rgb="FFFFAEA8"/>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EDF6"/>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9C0006"/>
      </font>
      <fill>
        <patternFill patternType="solid">
          <bgColor rgb="FFFFEDF6"/>
        </patternFill>
      </fill>
    </dxf>
    <dxf>
      <fill>
        <patternFill patternType="solid">
          <fgColor rgb="FFD6ECE2"/>
          <bgColor rgb="FFD6ECE2"/>
        </patternFill>
      </fill>
    </dxf>
    <dxf>
      <font>
        <color theme="0" tint="-4.9989318521683403E-2"/>
      </font>
    </dxf>
    <dxf>
      <fill>
        <patternFill patternType="solid">
          <bgColor rgb="FFFFEDF6"/>
        </patternFill>
      </fill>
    </dxf>
    <dxf>
      <font>
        <color rgb="FF9C0006"/>
      </font>
      <fill>
        <patternFill patternType="solid">
          <bgColor rgb="FFFFEDF6"/>
        </patternFill>
      </fill>
    </dxf>
    <dxf>
      <font>
        <color theme="8" tint="-0.499984740745262"/>
      </font>
      <fill>
        <patternFill patternType="solid">
          <bgColor theme="8" tint="0.79998168889431442"/>
        </patternFill>
      </fill>
    </dxf>
    <dxf>
      <fill>
        <patternFill patternType="solid">
          <bgColor rgb="FFDEEAFF"/>
        </patternFill>
      </fill>
    </dxf>
    <dxf>
      <fill>
        <patternFill patternType="solid">
          <bgColor rgb="FFFFD6E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9C0006"/>
      </font>
      <fill>
        <patternFill patternType="solid">
          <bgColor rgb="FFFFD6EC"/>
        </patternFill>
      </fill>
    </dxf>
    <dxf>
      <fill>
        <patternFill patternType="solid">
          <fgColor rgb="FFD6ECE2"/>
          <bgColor rgb="FFD6ECE2"/>
        </patternFill>
      </fill>
    </dxf>
    <dxf>
      <font>
        <color theme="0" tint="-4.9989318521683403E-2"/>
      </font>
    </dxf>
    <dxf>
      <fill>
        <patternFill patternType="solid">
          <bgColor rgb="FFFFD6EC"/>
        </patternFill>
      </fill>
    </dxf>
    <dxf>
      <fill>
        <patternFill patternType="solid">
          <bgColor rgb="FFFFD6EC"/>
        </patternFill>
      </fill>
    </dxf>
    <dxf>
      <font>
        <color rgb="FF9C0006"/>
      </font>
      <fill>
        <patternFill patternType="solid">
          <bgColor rgb="FFFFD6EC"/>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DEEAFF"/>
        </patternFill>
      </fill>
    </dxf>
    <dxf>
      <font>
        <color rgb="FFFF0088"/>
      </font>
    </dxf>
    <dxf>
      <font>
        <color theme="0"/>
      </font>
      <fill>
        <patternFill patternType="solid">
          <bgColor rgb="FF1EB477"/>
        </patternFill>
      </fill>
    </dxf>
    <dxf>
      <font>
        <color theme="1"/>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1"/>
      </font>
      <fill>
        <patternFill patternType="solid">
          <bgColor theme="6" tint="0.59999389629810485"/>
        </patternFill>
      </fill>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ill>
        <patternFill patternType="solid">
          <fgColor rgb="FFD6ECE2"/>
          <bgColor rgb="FFD6ECE2"/>
        </patternFill>
      </fill>
    </dxf>
    <dxf>
      <font>
        <color theme="0" tint="-4.9989318521683403E-2"/>
      </font>
    </dxf>
    <dxf>
      <font>
        <color theme="4" tint="-0.499984740745262"/>
      </font>
      <fill>
        <patternFill patternType="solid">
          <bgColor rgb="FFDEEAFF"/>
        </patternFill>
      </fill>
    </dxf>
    <dxf>
      <fill>
        <patternFill patternType="solid">
          <bgColor rgb="FFDEEAFF"/>
        </patternFill>
      </fill>
    </dxf>
    <dxf>
      <font>
        <color theme="0" tint="-4.9989318521683403E-2"/>
      </font>
    </dxf>
    <dxf>
      <font>
        <color rgb="FFFF0088"/>
      </font>
    </dxf>
    <dxf>
      <font>
        <color rgb="FFFF0088"/>
      </font>
    </dxf>
    <dxf>
      <font>
        <color theme="0" tint="-4.9989318521683403E-2"/>
      </font>
    </dxf>
    <dxf>
      <font>
        <color theme="0" tint="-4.9989318521683403E-2"/>
      </font>
    </dxf>
    <dxf>
      <font>
        <color rgb="FFFF0088"/>
      </font>
    </dxf>
    <dxf>
      <font>
        <color theme="0" tint="-4.9989318521683403E-2"/>
      </font>
    </dxf>
    <dxf>
      <fill>
        <patternFill patternType="solid">
          <fgColor rgb="FFD6ECE2"/>
          <bgColor rgb="FFD6ECE2"/>
        </patternFill>
      </fill>
    </dxf>
    <dxf>
      <font>
        <color rgb="FFFF0088"/>
      </font>
    </dxf>
    <dxf>
      <fill>
        <patternFill patternType="solid">
          <fgColor rgb="FFD6ECE2"/>
          <bgColor rgb="FFD6ECE2"/>
        </patternFill>
      </fill>
    </dxf>
    <dxf>
      <font>
        <color theme="0" tint="-4.9989318521683403E-2"/>
      </font>
    </dxf>
    <dxf>
      <fill>
        <patternFill patternType="solid">
          <fgColor rgb="FFD6ECE2"/>
          <bgColor rgb="FFD6ECE2"/>
        </patternFill>
      </fill>
    </dxf>
    <dxf>
      <fill>
        <patternFill patternType="solid">
          <fgColor rgb="FFD6ECE2"/>
          <bgColor rgb="FFD6ECE2"/>
        </patternFill>
      </fill>
    </dxf>
    <dxf>
      <font>
        <color rgb="FFFF0088"/>
      </font>
    </dxf>
    <dxf>
      <font>
        <color theme="0" tint="-4.9989318521683403E-2"/>
      </font>
    </dxf>
    <dxf>
      <fill>
        <patternFill patternType="solid">
          <fgColor rgb="FFD6ECE2"/>
          <bgColor rgb="FFD6ECE2"/>
        </patternFill>
      </fill>
    </dxf>
    <dxf>
      <fill>
        <patternFill patternType="solid">
          <fgColor rgb="FFD6ECE2"/>
          <bgColor rgb="FFD6ECE2"/>
        </patternFill>
      </fill>
    </dxf>
    <dxf>
      <fill>
        <patternFill patternType="solid">
          <fgColor rgb="FFD6ECE2"/>
          <bgColor rgb="FFD6ECE2"/>
        </patternFill>
      </fill>
    </dxf>
    <dxf>
      <font>
        <color theme="0" tint="-4.9989318521683403E-2"/>
      </font>
    </dxf>
    <dxf>
      <font>
        <color theme="0" tint="-4.9989318521683403E-2"/>
      </font>
    </dxf>
    <dxf>
      <font>
        <color rgb="FFFF0088"/>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rgb="FFFF0088"/>
      </font>
    </dxf>
    <dxf>
      <font>
        <color rgb="FFFF0088"/>
      </font>
    </dxf>
    <dxf>
      <font>
        <color rgb="FFFF0088"/>
      </font>
    </dxf>
    <dxf>
      <font>
        <color rgb="FFFF0088"/>
      </font>
    </dxf>
    <dxf>
      <font>
        <color rgb="FFFF0088"/>
      </font>
    </dxf>
    <dxf>
      <font>
        <color rgb="FFFF0088"/>
      </font>
    </dxf>
    <dxf>
      <font>
        <color rgb="FFFF0088"/>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0" tint="-4.9989318521683403E-2"/>
      </font>
    </dxf>
    <dxf>
      <font>
        <color rgb="FFFF0088"/>
      </font>
    </dxf>
    <dxf>
      <font>
        <color theme="0" tint="-4.9989318521683403E-2"/>
      </font>
    </dxf>
    <dxf>
      <font>
        <color theme="0" tint="-4.9989318521683403E-2"/>
      </font>
    </dxf>
    <dxf>
      <font>
        <color rgb="FFFF0088"/>
      </font>
    </dxf>
    <dxf>
      <font>
        <color rgb="FFFF0088"/>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tint="-4.9989318521683403E-2"/>
      </font>
    </dxf>
    <dxf>
      <font>
        <color theme="8" tint="-0.499984740745262"/>
      </font>
      <fill>
        <patternFill patternType="solid">
          <bgColor theme="8" tint="0.79998168889431442"/>
        </patternFill>
      </fill>
    </dxf>
    <dxf>
      <fill>
        <patternFill patternType="solid">
          <bgColor rgb="FFFFD6EC"/>
        </patternFill>
      </fill>
    </dxf>
    <dxf>
      <font>
        <color rgb="FF9C0006"/>
      </font>
      <fill>
        <patternFill patternType="solid">
          <bgColor rgb="FFFFD6EC"/>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rgb="FFFF0088"/>
      </font>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rgb="FFFF0088"/>
      </font>
    </dxf>
    <dxf>
      <font>
        <color theme="0" tint="-4.9989318521683403E-2"/>
      </font>
    </dxf>
    <dxf>
      <font>
        <color theme="8" tint="-0.499984740745262"/>
      </font>
      <fill>
        <patternFill patternType="solid">
          <bgColor theme="8" tint="0.79998168889431442"/>
        </patternFill>
      </fill>
    </dxf>
    <dxf>
      <fill>
        <patternFill patternType="solid">
          <bgColor rgb="FFFFD6EC"/>
        </patternFill>
      </fill>
    </dxf>
    <dxf>
      <font>
        <color rgb="FF9C0006"/>
      </font>
      <fill>
        <patternFill patternType="solid">
          <bgColor rgb="FFFFD6EC"/>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4" tint="-0.499984740745262"/>
      </font>
      <fill>
        <patternFill patternType="solid">
          <bgColor rgb="FFDEEAFF"/>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ill>
        <patternFill patternType="solid">
          <fgColor rgb="FFD6ECE2"/>
          <bgColor rgb="FFD6ECE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0" tint="-4.9989318521683403E-2"/>
      </font>
    </dxf>
    <dxf>
      <font>
        <color theme="8" tint="-0.499984740745262"/>
      </font>
      <fill>
        <patternFill patternType="solid">
          <bgColor theme="8" tint="0.79998168889431442"/>
        </patternFill>
      </fill>
    </dxf>
    <dxf>
      <fill>
        <patternFill patternType="solid">
          <bgColor rgb="FFFFD6EC"/>
        </patternFill>
      </fill>
    </dxf>
    <dxf>
      <font>
        <color rgb="FF9C0006"/>
      </font>
      <fill>
        <patternFill patternType="solid">
          <bgColor rgb="FFFFD6EC"/>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0" tint="-4.9989318521683403E-2"/>
      </font>
    </dxf>
    <dxf>
      <font>
        <color rgb="FFFF0088"/>
      </font>
    </dxf>
    <dxf>
      <fill>
        <patternFill patternType="solid">
          <fgColor rgb="FFD6ECE2"/>
          <bgColor rgb="FFD6ECE2"/>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ill>
        <patternFill patternType="solid">
          <fgColor rgb="FFD6ECE2"/>
          <bgColor rgb="FFD6ECE2"/>
        </patternFill>
      </fill>
    </dxf>
    <dxf>
      <fill>
        <patternFill patternType="solid">
          <fgColor rgb="FFD6ECE2"/>
          <bgColor rgb="FFD6ECE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rgb="FFFF0088"/>
      </font>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ill>
        <patternFill patternType="solid">
          <fgColor rgb="FFD6ECE2"/>
          <bgColor rgb="FFD6ECE2"/>
        </patternFill>
      </fill>
    </dxf>
    <dxf>
      <font>
        <color theme="0" tint="-4.9989318521683403E-2"/>
      </font>
    </dxf>
    <dxf>
      <fill>
        <patternFill patternType="solid">
          <fgColor rgb="FFD6ECE2"/>
          <bgColor rgb="FFD6ECE2"/>
        </patternFill>
      </fill>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rgb="FFFF0088"/>
      </font>
    </dxf>
    <dxf>
      <font>
        <color rgb="FFFF0088"/>
      </font>
    </dxf>
    <dxf>
      <font>
        <color rgb="FFFF0088"/>
      </font>
    </dxf>
    <dxf>
      <font>
        <color rgb="FFFF0088"/>
      </font>
    </dxf>
    <dxf>
      <font>
        <color rgb="FFFF0088"/>
      </font>
    </dxf>
    <dxf>
      <font>
        <color rgb="FFFF0088"/>
      </font>
    </dxf>
    <dxf>
      <font>
        <color theme="0" tint="-4.9989318521683403E-2"/>
      </font>
    </dxf>
    <dxf>
      <font>
        <color theme="0" tint="-4.9989318521683403E-2"/>
      </font>
    </dxf>
    <dxf>
      <font>
        <color theme="0" tint="-4.9989318521683403E-2"/>
      </font>
    </dxf>
    <dxf>
      <font>
        <color rgb="FFFF0088"/>
      </font>
    </dxf>
    <dxf>
      <font>
        <color rgb="FFFF0088"/>
      </font>
    </dxf>
    <dxf>
      <font>
        <color theme="0" tint="-4.9989318521683403E-2"/>
      </font>
    </dxf>
    <dxf>
      <font>
        <color rgb="FFFF0088"/>
      </font>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rgb="FFFF0088"/>
      </font>
    </dxf>
    <dxf>
      <font>
        <color rgb="FFFF0088"/>
      </font>
    </dxf>
    <dxf>
      <font>
        <color rgb="FFFF0088"/>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tint="-4.9989318521683403E-2"/>
      </font>
    </dxf>
    <dxf>
      <font>
        <color theme="8" tint="-0.499984740745262"/>
      </font>
      <fill>
        <patternFill patternType="solid">
          <bgColor theme="8" tint="0.79998168889431442"/>
        </patternFill>
      </fill>
    </dxf>
    <dxf>
      <fill>
        <patternFill patternType="solid">
          <fgColor rgb="FFD6ECE2"/>
          <bgColor rgb="FFD6ECE2"/>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0" tint="-4.9989318521683403E-2"/>
      </font>
    </dxf>
    <dxf>
      <font>
        <color theme="0" tint="-4.9989318521683403E-2"/>
      </font>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rgb="FFFF0088"/>
      </font>
    </dxf>
    <dxf>
      <font>
        <color theme="0" tint="-4.9989318521683403E-2"/>
      </font>
    </dxf>
    <dxf>
      <fill>
        <patternFill patternType="solid">
          <fgColor rgb="FFD6ECE2"/>
          <bgColor rgb="FFD6ECE2"/>
        </patternFill>
      </fill>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theme="8" tint="-0.499984740745262"/>
      </font>
      <fill>
        <patternFill patternType="solid">
          <bgColor theme="8" tint="0.79998168889431442"/>
        </patternFill>
      </fill>
    </dxf>
    <dxf>
      <font>
        <color rgb="FFFF0088"/>
      </font>
    </dxf>
    <dxf>
      <font>
        <color theme="0" tint="-4.9989318521683403E-2"/>
      </font>
    </dxf>
    <dxf>
      <font>
        <color theme="0" tint="-4.9989318521683403E-2"/>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theme="0" tint="-4.9989318521683403E-2"/>
      </font>
    </dxf>
    <dxf>
      <font>
        <color rgb="FFFF0088"/>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rgb="FFFF0088"/>
      </font>
    </dxf>
    <dxf>
      <font>
        <color theme="0" tint="-4.9989318521683403E-2"/>
      </font>
    </dxf>
    <dxf>
      <font>
        <color theme="0" tint="-4.9989318521683403E-2"/>
      </font>
    </dxf>
    <dxf>
      <font>
        <color theme="0" tint="-4.9989318521683403E-2"/>
      </font>
    </dxf>
    <dxf>
      <font>
        <color rgb="FFFF0088"/>
      </font>
    </dxf>
    <dxf>
      <font>
        <color rgb="FFFF0088"/>
      </font>
    </dxf>
    <dxf>
      <font>
        <color theme="0" tint="-4.9989318521683403E-2"/>
      </font>
    </dxf>
    <dxf>
      <font>
        <color theme="0" tint="-4.9989318521683403E-2"/>
      </font>
    </dxf>
    <dxf>
      <font>
        <color theme="0" tint="-4.9989318521683403E-2"/>
      </font>
    </dxf>
    <dxf>
      <font>
        <color rgb="FFFF0088"/>
      </font>
    </dxf>
    <dxf>
      <font>
        <color theme="0" tint="-4.9989318521683403E-2"/>
      </font>
    </dxf>
    <dxf>
      <font>
        <color rgb="FFFF0088"/>
      </font>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0" tint="-4.9989318521683403E-2"/>
      </font>
    </dxf>
    <dxf>
      <font>
        <color theme="8" tint="-0.499984740745262"/>
      </font>
      <fill>
        <patternFill patternType="solid">
          <bgColor theme="8" tint="0.79998168889431442"/>
        </patternFill>
      </fill>
    </dxf>
    <dxf>
      <font>
        <color theme="4" tint="-0.499984740745262"/>
      </font>
      <fill>
        <patternFill patternType="solid">
          <bgColor rgb="FFDEEAFF"/>
        </patternFill>
      </fill>
    </dxf>
    <dxf>
      <fill>
        <patternFill patternType="solid">
          <fgColor rgb="FFD6ECE2"/>
          <bgColor rgb="FFD6ECE2"/>
        </patternFill>
      </fill>
    </dxf>
    <dxf>
      <font>
        <color rgb="FFFF0088"/>
      </font>
    </dxf>
    <dxf>
      <font>
        <color theme="0" tint="-4.9989318521683403E-2"/>
      </font>
    </dxf>
    <dxf>
      <font>
        <color theme="0" tint="-4.9989318521683403E-2"/>
      </font>
    </dxf>
    <dxf>
      <font>
        <color theme="8" tint="-0.499984740745262"/>
      </font>
      <fill>
        <patternFill patternType="solid">
          <bgColor theme="8" tint="0.79998168889431442"/>
        </patternFill>
      </fill>
    </dxf>
    <dxf>
      <font>
        <color theme="4" tint="-0.499984740745262"/>
      </font>
      <fill>
        <patternFill patternType="solid">
          <bgColor rgb="FFDEEAFF"/>
        </patternFill>
      </fill>
    </dxf>
    <dxf>
      <fill>
        <patternFill patternType="solid">
          <fgColor rgb="FFD6ECE2"/>
          <bgColor rgb="FFD6ECE2"/>
        </patternFill>
      </fill>
    </dxf>
    <dxf>
      <font>
        <color rgb="FFFF0088"/>
      </font>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4" tint="-0.499984740745262"/>
      </font>
      <fill>
        <patternFill patternType="solid">
          <bgColor rgb="FFDEEAFF"/>
        </patternFill>
      </fill>
    </dxf>
    <dxf>
      <font>
        <color theme="0" tint="-4.9989318521683403E-2"/>
      </font>
    </dxf>
    <dxf>
      <fill>
        <patternFill patternType="solid">
          <fgColor rgb="FFD6ECE2"/>
          <bgColor rgb="FFD6ECE2"/>
        </patternFill>
      </fill>
    </dxf>
    <dxf>
      <font>
        <color theme="0" tint="-4.9989318521683403E-2"/>
      </font>
    </dxf>
    <dxf>
      <font>
        <color rgb="FFFF0088"/>
      </font>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8" tint="-0.499984740745262"/>
      </font>
      <fill>
        <patternFill patternType="solid">
          <bgColor theme="8" tint="0.79998168889431442"/>
        </patternFill>
      </fill>
    </dxf>
    <dxf>
      <fill>
        <patternFill patternType="solid">
          <fgColor rgb="FFD6ECE2"/>
          <bgColor rgb="FFD6ECE2"/>
        </patternFill>
      </fill>
    </dxf>
    <dxf>
      <font>
        <color rgb="FFFF0088"/>
      </font>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8" tint="-0.499984740745262"/>
      </font>
      <fill>
        <patternFill patternType="solid">
          <bgColor theme="8" tint="0.79998168889431442"/>
        </patternFill>
      </fill>
    </dxf>
    <dxf>
      <font>
        <color rgb="FFFF0088"/>
      </font>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8" tint="-0.499984740745262"/>
      </font>
      <fill>
        <patternFill patternType="solid">
          <bgColor theme="8" tint="0.79998168889431442"/>
        </patternFill>
      </fill>
    </dxf>
    <dxf>
      <fill>
        <patternFill patternType="solid">
          <fgColor rgb="FFD6ECE2"/>
          <bgColor rgb="FFD6ECE2"/>
        </patternFill>
      </fill>
    </dxf>
    <dxf>
      <font>
        <color theme="4" tint="-0.499984740745262"/>
      </font>
      <fill>
        <patternFill patternType="solid">
          <bgColor rgb="FFDEEAFF"/>
        </patternFill>
      </fill>
    </dxf>
    <dxf>
      <font>
        <color theme="8" tint="-0.499984740745262"/>
      </font>
      <fill>
        <patternFill patternType="solid">
          <bgColor theme="8" tint="0.79998168889431442"/>
        </patternFill>
      </fill>
    </dxf>
    <dxf>
      <fill>
        <patternFill patternType="solid">
          <bgColor rgb="FFDEEAFF"/>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ill>
        <patternFill patternType="solid">
          <bgColor rgb="FFFFE1CC"/>
        </patternFill>
      </fill>
    </dxf>
    <dxf>
      <font>
        <color theme="4" tint="-0.499984740745262"/>
      </font>
      <fill>
        <patternFill patternType="solid">
          <bgColor rgb="FFDEEAFF"/>
        </patternFill>
      </fill>
    </dxf>
    <dxf>
      <fill>
        <patternFill patternType="solid">
          <fgColor rgb="FFD6ECE2"/>
          <bgColor rgb="FFD6ECE2"/>
        </patternFill>
      </fill>
    </dxf>
    <dxf>
      <fill>
        <patternFill patternType="solid">
          <fgColor rgb="FFD6ECE2"/>
          <bgColor rgb="FFD6ECE2"/>
        </patternFill>
      </fill>
    </dxf>
    <dxf>
      <font>
        <color rgb="FFFF0088"/>
      </font>
    </dxf>
    <dxf>
      <fill>
        <patternFill patternType="solid">
          <fgColor rgb="FFD6ECE2"/>
          <bgColor rgb="FFD6ECE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ill>
        <patternFill patternType="solid">
          <fgColor rgb="FFD6ECE2"/>
          <bgColor rgb="FFD6ECE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0" tint="-4.9989318521683403E-2"/>
      </font>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theme="0" tint="-4.9989318521683403E-2"/>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theme="0" tint="-4.9989318521683403E-2"/>
      </font>
    </dxf>
    <dxf>
      <font>
        <color rgb="FFFF0088"/>
      </font>
    </dxf>
    <dxf>
      <font>
        <color theme="8" tint="-0.499984740745262"/>
      </font>
      <fill>
        <patternFill patternType="solid">
          <bgColor theme="8" tint="0.79998168889431442"/>
        </patternFill>
      </fill>
    </dxf>
    <dxf>
      <font>
        <color rgb="FF9C0006"/>
      </font>
      <fill>
        <patternFill>
          <bgColor rgb="FFFFC7CE"/>
        </patternFill>
      </fill>
    </dxf>
    <dxf>
      <font>
        <color theme="4" tint="-0.499984740745262"/>
      </font>
      <fill>
        <patternFill patternType="solid">
          <bgColor theme="9" tint="0.79998168889431442"/>
        </patternFill>
      </fill>
    </dxf>
    <dxf>
      <font>
        <color theme="0"/>
      </font>
      <fill>
        <patternFill patternType="solid">
          <bgColor theme="8" tint="-0.499984740745262"/>
        </patternFill>
      </fill>
    </dxf>
    <dxf>
      <font>
        <color theme="0"/>
      </font>
      <fill>
        <patternFill patternType="solid">
          <bgColor theme="5" tint="-0.249977111117893"/>
        </patternFill>
      </fill>
    </dxf>
    <dxf>
      <font>
        <color rgb="FF7030A0"/>
      </font>
      <fill>
        <patternFill patternType="solid">
          <bgColor rgb="FFF2E0FF"/>
        </patternFill>
      </fill>
    </dxf>
    <dxf>
      <font>
        <color theme="0"/>
      </font>
      <fill>
        <patternFill patternType="solid">
          <bgColor rgb="FF7030A0"/>
        </patternFill>
      </fill>
    </dxf>
    <dxf>
      <font>
        <color theme="7" tint="-0.499984740745262"/>
      </font>
      <fill>
        <patternFill patternType="solid">
          <bgColor theme="7" tint="0.59999389629810485"/>
        </patternFill>
      </fill>
    </dxf>
    <dxf>
      <font>
        <color theme="1"/>
      </font>
      <fill>
        <patternFill patternType="solid">
          <bgColor theme="6" tint="0.39997558519241921"/>
        </patternFill>
      </fill>
    </dxf>
    <dxf>
      <font>
        <color theme="8" tint="-0.499984740745262"/>
      </font>
      <fill>
        <patternFill patternType="solid">
          <bgColor theme="8" tint="0.59999389629810485"/>
        </patternFill>
      </fill>
    </dxf>
    <dxf>
      <font>
        <color theme="7" tint="0.79998168889431442"/>
      </font>
      <fill>
        <patternFill patternType="solid">
          <bgColor theme="7" tint="-0.499984740745262"/>
        </patternFill>
      </fill>
    </dxf>
    <dxf>
      <font>
        <color theme="0"/>
      </font>
      <fill>
        <patternFill patternType="solid">
          <bgColor theme="9" tint="-0.249977111117893"/>
        </patternFill>
      </fill>
    </dxf>
    <dxf>
      <font>
        <color rgb="FFFF0088"/>
      </font>
    </dxf>
    <dxf>
      <font>
        <color theme="8" tint="-0.499984740745262"/>
      </font>
      <fill>
        <patternFill patternType="solid">
          <bgColor theme="8" tint="0.79998168889431442"/>
        </patternFill>
      </fill>
    </dxf>
    <dxf>
      <fill>
        <patternFill patternType="solid">
          <fgColor rgb="FFD6ECE2"/>
          <bgColor rgb="FFD6ECE2"/>
        </patternFill>
      </fill>
    </dxf>
    <dxf>
      <font>
        <color theme="0"/>
      </font>
      <fill>
        <patternFill patternType="solid">
          <bgColor rgb="FFFA8241"/>
        </patternFill>
      </fill>
    </dxf>
    <dxf>
      <font>
        <color theme="8" tint="-0.499984740745262"/>
      </font>
      <fill>
        <patternFill patternType="solid">
          <bgColor theme="8" tint="0.79998168889431442"/>
        </patternFill>
      </fill>
    </dxf>
    <dxf>
      <fill>
        <patternFill patternType="solid">
          <fgColor rgb="FFD6ECE2"/>
          <bgColor rgb="FFD6ECE2"/>
        </patternFill>
      </fill>
    </dxf>
    <dxf>
      <font>
        <color theme="0" tint="-4.9989318521683403E-2"/>
      </font>
    </dxf>
    <dxf>
      <font>
        <color theme="8" tint="-0.499984740745262"/>
      </font>
      <fill>
        <patternFill patternType="solid">
          <bgColor theme="8" tint="0.79998168889431442"/>
        </patternFill>
      </fill>
    </dxf>
    <dxf>
      <fill>
        <patternFill patternType="solid">
          <fgColor rgb="FFD6ECE2"/>
          <bgColor rgb="FFD6ECE2"/>
        </patternFill>
      </fill>
    </dxf>
    <dxf>
      <font>
        <color rgb="FFFF0088"/>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rgb="FFFF0088"/>
      </font>
    </dxf>
    <dxf>
      <font>
        <color rgb="FFFF0088"/>
      </font>
    </dxf>
    <dxf>
      <font>
        <color theme="8" tint="-0.499984740745262"/>
      </font>
      <fill>
        <patternFill patternType="solid">
          <bgColor theme="8" tint="0.79998168889431442"/>
        </patternFill>
      </fill>
    </dxf>
    <dxf>
      <font>
        <color theme="0" tint="-4.9989318521683403E-2"/>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rgb="FFFF0088"/>
      </font>
    </dxf>
    <dxf>
      <font>
        <color rgb="FFFF0088"/>
      </font>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ill>
        <patternFill patternType="solid">
          <fgColor rgb="FFD6ECE2"/>
          <bgColor rgb="FFD6ECE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00B050"/>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font>
      <fill>
        <patternFill patternType="solid">
          <bgColor rgb="FFFA8241"/>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theme="6" tint="-0.499984740745262"/>
      </font>
      <fill>
        <patternFill patternType="solid">
          <bgColor theme="6" tint="0.59999389629810485"/>
        </patternFill>
      </fill>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6" tint="-0.499984740745262"/>
      </font>
      <fill>
        <patternFill patternType="solid">
          <bgColor theme="6" tint="0.59999389629810485"/>
        </patternFill>
      </fill>
    </dxf>
    <dxf>
      <font>
        <color theme="0"/>
      </font>
      <fill>
        <patternFill patternType="solid">
          <bgColor rgb="FF1EB477"/>
        </patternFill>
      </fill>
    </dxf>
    <dxf>
      <font>
        <color theme="1"/>
      </font>
      <fill>
        <patternFill patternType="solid">
          <bgColor theme="6" tint="0.59999389629810485"/>
        </patternFill>
      </fill>
    </dxf>
    <dxf>
      <font>
        <color rgb="FFFF0088"/>
      </font>
    </dxf>
    <dxf>
      <font>
        <color rgb="FFFF0088"/>
      </font>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6" tint="-0.499984740745262"/>
      </font>
      <fill>
        <patternFill patternType="solid">
          <bgColor theme="6" tint="0.59999389629810485"/>
        </patternFill>
      </fill>
    </dxf>
    <dxf>
      <font>
        <color theme="0"/>
      </font>
      <fill>
        <patternFill patternType="solid">
          <bgColor rgb="FF1EB477"/>
        </patternFill>
      </fill>
    </dxf>
    <dxf>
      <font>
        <color theme="0"/>
      </font>
      <fill>
        <patternFill patternType="solid">
          <bgColor rgb="FFFA8241"/>
        </patternFill>
      </fill>
    </dxf>
    <dxf>
      <font>
        <color theme="1"/>
      </font>
      <fill>
        <patternFill patternType="solid">
          <bgColor theme="6" tint="0.59999389629810485"/>
        </patternFill>
      </fill>
    </dxf>
    <dxf>
      <font>
        <color theme="0"/>
      </font>
      <fill>
        <patternFill patternType="solid">
          <bgColor rgb="FFFA8241"/>
        </patternFill>
      </fill>
    </dxf>
    <dxf>
      <font>
        <color theme="0"/>
      </font>
      <fill>
        <patternFill patternType="solid">
          <bgColor rgb="FF1EB477"/>
        </patternFill>
      </fill>
    </dxf>
    <dxf>
      <font>
        <color rgb="FFFF0088"/>
      </font>
    </dxf>
    <dxf>
      <font>
        <color theme="0"/>
      </font>
      <fill>
        <patternFill patternType="solid">
          <bgColor rgb="FF00B050"/>
        </patternFill>
      </fill>
    </dxf>
    <dxf>
      <font>
        <color theme="1"/>
      </font>
      <fill>
        <patternFill patternType="solid">
          <bgColor theme="6" tint="0.59999389629810485"/>
        </patternFill>
      </fill>
    </dxf>
    <dxf>
      <font>
        <color theme="0"/>
      </font>
      <fill>
        <patternFill patternType="solid">
          <bgColor rgb="FF00B050"/>
        </patternFill>
      </fill>
    </dxf>
    <dxf>
      <font>
        <color theme="0"/>
      </font>
      <fill>
        <patternFill patternType="solid">
          <bgColor rgb="FFFA8241"/>
        </patternFill>
      </fill>
    </dxf>
    <dxf>
      <font>
        <color theme="1"/>
      </font>
      <fill>
        <patternFill patternType="solid">
          <bgColor theme="6" tint="0.59999389629810485"/>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rgb="FFFF0088"/>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0" tint="-4.9989318521683403E-2"/>
      </font>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ill>
        <patternFill patternType="solid">
          <fgColor rgb="FFB7E1CD"/>
          <bgColor rgb="FFB7E1CD"/>
        </patternFill>
      </fill>
    </dxf>
    <dxf>
      <font>
        <color theme="8" tint="-0.499984740745262"/>
      </font>
      <fill>
        <patternFill patternType="solid">
          <bgColor theme="8" tint="0.79998168889431442"/>
        </patternFill>
      </fill>
    </dxf>
    <dxf>
      <font>
        <color theme="8" tint="-0.499984740745262"/>
      </font>
      <fill>
        <patternFill patternType="solid">
          <bgColor theme="8" tint="0.79998168889431442"/>
        </patternFill>
      </fill>
    </dxf>
    <dxf>
      <font>
        <color rgb="FFFF0088"/>
      </font>
    </dxf>
    <dxf>
      <font>
        <color theme="8" tint="-0.499984740745262"/>
      </font>
      <fill>
        <patternFill patternType="solid">
          <bgColor theme="8" tint="0.79998168889431442"/>
        </patternFill>
      </fill>
    </dxf>
    <dxf>
      <font>
        <color theme="0" tint="-4.9989318521683403E-2"/>
      </font>
    </dxf>
    <dxf>
      <font>
        <color rgb="FFFF0088"/>
      </font>
    </dxf>
    <dxf>
      <font>
        <b/>
        <color rgb="FFFFFFFF"/>
      </font>
      <fill>
        <patternFill patternType="solid">
          <fgColor rgb="FFA64D79"/>
          <bgColor rgb="FFA64D79"/>
        </patternFill>
      </fill>
    </dxf>
    <dxf>
      <font>
        <b/>
        <color rgb="FFFFFFFF"/>
      </font>
      <fill>
        <patternFill patternType="solid">
          <fgColor rgb="FFA64D79"/>
          <bgColor rgb="FFA64D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Iona van den Dries" id="{DA0B3F1F-A8C5-9242-874F-4EC8B533B8D4}" userId="S::ivddries@fnl.nl::20e738cc-997c-491a-a6d8-e20daa36a369" providerId="AD"/>
  <person displayName="Koen van Ekeren" id="{64012C57-9ACD-074A-B90C-6D91F17C4892}" userId="S::kvekeren@fnl.nl::e5c6f7f3-074b-4441-aaf8-cc84fcd427ce" providerId="AD"/>
  <person displayName="Lizanne Croonen" id="{01E32251-F9A6-5144-BD85-A65B14A1E92E}" userId="S::lcroonen@fnl.nl::1c7f872b-37e4-4ef1-a5f7-47d46d70cc3d"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5" dT="2026-01-06T08:45:07.19" personId="{64012C57-9ACD-074A-B90C-6D91F17C4892}" id="{D32B98C6-CAF3-8244-AFAA-70D71FC6FA74}">
    <text>Geen SEO-potentie, dus alleen updaten als we het artikel meenemen in de nieuwsbrief/socials</text>
  </threadedComment>
  <threadedComment ref="H21" dT="2026-01-06T11:10:10.93" personId="{DA0B3F1F-A8C5-9242-874F-4EC8B533B8D4}" id="{DFCAE07C-1D7A-EA4C-9BB8-A520080140E1}">
    <text>Gerelateerd aan rozenartikel GW2602</text>
  </threadedComment>
  <threadedComment ref="H22" dT="2026-01-21T11:06:42.05" personId="{64012C57-9ACD-074A-B90C-6D91F17C4892}" id="{2067C5C6-F48D-674B-ADFB-A5759E378BA8}">
    <text>Nauwelijks zoekvolume op het onderwerp, dus een SEO-briefing is niet nodig.</text>
  </threadedComment>
  <threadedComment ref="H25" dT="2026-01-15T08:44:46.73" personId="{DA0B3F1F-A8C5-9242-874F-4EC8B533B8D4}" id="{1CD0FF28-3E2E-0240-9B5F-2C02B8626793}">
    <text>Discover</text>
  </threadedComment>
  <threadedComment ref="H36" dT="2026-01-15T08:36:21.39" personId="{DA0B3F1F-A8C5-9242-874F-4EC8B533B8D4}" id="{0EC5D5AA-2A55-E540-B6ED-2FF291C88EE9}">
    <text>Walnotenboom in titel, notenboom snoeien herhalen in tekst</text>
  </threadedComment>
  <threadedComment ref="H36" dT="2026-01-21T11:07:33.73" personId="{64012C57-9ACD-074A-B90C-6D91F17C4892}" id="{3D6E616D-F4E0-1540-8A9E-FFEDBA40CBB0}" parentId="{0EC5D5AA-2A55-E540-B6ED-2FF291C88EE9}">
    <text>Ik zou focussen op 'notenboom snoeien' in de titel. We kunnen later nog wel een artikel schrijven waarbij we optimaliseren op de walnotenboom</text>
  </threadedComment>
  <threadedComment ref="H37" dT="2026-01-22T08:59:31.75" personId="{DA0B3F1F-A8C5-9242-874F-4EC8B533B8D4}" id="{41F157F4-FFBE-DB41-B242-A848FAF2178E}">
    <text>Toscaanse jasmijn
Passiebloem
Clematis
Oleander
Siergrassen
(en meer evt.)
Evt. clickbait titel voor SEO, meer GW titel in artikel zelf</text>
  </threadedComment>
  <threadedComment ref="H45" dT="2026-02-05T09:00:08.59" personId="{DA0B3F1F-A8C5-9242-874F-4EC8B533B8D4}" id="{6DCD302B-64E5-0044-AE33-03C057742181}">
    <text>X tuiniers delen hun romantische rozenverhalen + vermeld bij Remy handle Insta remy_and_my_garden__</text>
    <extLst>
      <x:ext xmlns:xltc2="http://schemas.microsoft.com/office/spreadsheetml/2020/threadedcomments2" uri="{F7C98A9C-CBB3-438F-8F68-D28B6AF4A901}">
        <xltc2:checksum>2046663223</xltc2:checksum>
        <xltc2:hyperlink startIndex="79" length="20" url="https://www.instagram.com/remy_and_my_garden__/#"/>
      </x:ext>
    </extLst>
  </threadedComment>
  <threadedComment ref="H64" dT="2026-02-19T09:54:54.67" personId="{64012C57-9ACD-074A-B90C-6D91F17C4892}" id="{2E6358C0-8EE5-1348-8394-470386E72437}">
    <text>Is een winterprobleem, dus liefst in februari oppakken</text>
  </threadedComment>
  <threadedComment ref="H66" dT="2026-02-19T09:54:54.67" personId="{64012C57-9ACD-074A-B90C-6D91F17C4892}" id="{228FF12F-EC59-E04D-8B16-8BAD22111325}">
    <text>Is een winterprobleem, dus liefst in februari oppakken</text>
  </threadedComment>
  <threadedComment ref="T68" dT="2026-03-03T13:52:00.58" personId="{64012C57-9ACD-074A-B90C-6D91F17C4892}" id="{669EE2F1-2EB1-6F4D-9B16-592F638FBA44}">
    <text>Briefing niet nodig: https://www.gardenersworldmagazine.nl/groene-school/kweken/zaaien-in-maart-groenten-bloemen/</text>
  </threadedComment>
  <threadedComment ref="T69" dT="2026-03-03T13:52:57.30" personId="{64012C57-9ACD-074A-B90C-6D91F17C4892}" id="{A9508E48-27B4-384F-A260-53076DE73338}">
    <text>Briefing niet nodig: https://www.gardenersworldmagazine.nl/groene-school/snoeien/snoeien-in-maart/. We kunnen het artikel eventueel publiceren onder een nieuwe url?</text>
    <extLst>
      <x:ext xmlns:xltc2="http://schemas.microsoft.com/office/spreadsheetml/2020/threadedcomments2" uri="{F7C98A9C-CBB3-438F-8F68-D28B6AF4A901}">
        <xltc2:checksum>3378573781</xltc2:checksum>
        <xltc2:hyperlink startIndex="21" length="78" url="https://www.gardenersworldmagazine.nl/groene-school/snoeien/snoeien-in-maart/."/>
      </x:ext>
    </extLst>
  </threadedComment>
  <threadedComment ref="H70" dT="2026-01-15T08:44:46.73" personId="{DA0B3F1F-A8C5-9242-874F-4EC8B533B8D4}" id="{80CFBF23-7B7F-3F4A-A245-EB88037E42FE}">
    <text>Discover</text>
  </threadedComment>
  <threadedComment ref="T70" dT="2026-03-03T13:53:44.02" personId="{64012C57-9ACD-074A-B90C-6D91F17C4892}" id="{BECEF755-4D3F-5E42-91C5-805C92E75CD5}">
    <text>Verwijs naar de moestuincursus</text>
  </threadedComment>
  <threadedComment ref="T71" dT="2026-01-12T11:30:10.39" personId="{64012C57-9ACD-074A-B90C-6D91F17C4892}" id="{F963FCD8-CB86-D246-9828-EDFBBFAF0E04}">
    <text>https://www.gardenersworldmagazine.nl/groene-school/moestuin/voedselverspilling-voorkomen-volledig-eetbare-groenten/</text>
  </threadedComment>
  <threadedComment ref="H76" dT="2026-03-09T15:03:27.20" personId="{64012C57-9ACD-074A-B90C-6D91F17C4892}" id="{7CB384ED-7BBB-4345-98D2-47E6C04354BA}">
    <text>Concept staat klaar in de backend</text>
  </threadedComment>
  <threadedComment ref="AF76" dT="2026-01-15T08:44:46.73" personId="{DA0B3F1F-A8C5-9242-874F-4EC8B533B8D4}" id="{A9CDD1EF-43E9-A943-BA64-900B29FB2731}">
    <text>Discover</text>
  </threadedComment>
  <threadedComment ref="H77" dT="2026-02-19T08:48:24.20" personId="{64012C57-9ACD-074A-B90C-6D91F17C4892}" id="{025F409F-F687-0144-87EA-141708005375}">
    <text>Weinig zoekvolume, briefing niet nodig. 
Dit artikel mag vertaald worden: https://www.gardenersworld.com/how-to/diy/10-ways-to-improve-your-shed/</text>
  </threadedComment>
  <threadedComment ref="H79" dT="2026-02-09T12:49:08.63" personId="{64012C57-9ACD-074A-B90C-6D91F17C4892}" id="{43281875-5033-644E-95B8-D1F971CDB10E}">
    <text>Deze kan vertaald worden: https://www.gardenersworld.com/how-to/maintain-the-garden/zen-garden-ideas/
(briefing hier niet nodig)</text>
    <extLst>
      <x:ext xmlns:xltc2="http://schemas.microsoft.com/office/spreadsheetml/2020/threadedcomments2" uri="{F7C98A9C-CBB3-438F-8F68-D28B6AF4A901}">
        <xltc2:checksum>2819143113</xltc2:checksum>
        <xltc2:hyperlink startIndex="26" length="75" url="https://www.gardenersworld.com/how-to/maintain-the-garden/zen-garden-ideas/"/>
      </x:ext>
    </extLst>
  </threadedComment>
  <threadedComment ref="H81" dT="2026-03-03T13:38:42.27" personId="{DA0B3F1F-A8C5-9242-874F-4EC8B533B8D4}" id="{13FD78DA-1D31-144C-9A61-6A9A1367F386}">
    <text>Incl filmpje met tips van Anne tegen slakken</text>
  </threadedComment>
  <threadedComment ref="H82" dT="2026-02-19T08:46:56.59" personId="{64012C57-9ACD-074A-B90C-6D91F17C4892}" id="{F137BD0B-9F19-B747-A4C2-C8B9979F1FC6}">
    <text xml:space="preserve">Keywords om mee te nemen:
- Klimplant tegen muur bevestigen (100)
- Klimplant schutting bevestigen (60)
- Klimplant begeleiden (40)
- Klimplant ondersteuning (30)
Belangrijke concurrenten:
https://www.intratuin.nl/inspiratie/klimplanten-bevestigen
https://www.tuinplantenonline.nl/klimplanten-begeleiden/ </text>
    <extLst>
      <x:ext xmlns:xltc2="http://schemas.microsoft.com/office/spreadsheetml/2020/threadedcomments2" uri="{F7C98A9C-CBB3-438F-8F68-D28B6AF4A901}">
        <xltc2:checksum>2337996857</xltc2:checksum>
        <xltc2:hyperlink startIndex="190" length="58" url="https://www.intratuin.nl/inspiratie/klimplanten-bevestigen"/>
        <xltc2:hyperlink startIndex="249" length="56" url="https://www.tuinplantenonline.nl/klimplanten-begeleiden/"/>
      </x:ext>
    </extLst>
  </threadedComment>
  <threadedComment ref="H82" dT="2026-02-24T16:00:50.04" personId="{01E32251-F9A6-5144-BD85-A65B14A1E92E}" id="{1F2907CC-5595-3C42-B6FA-DAD31EC7CD8F}" parentId="{F137BD0B-9F19-B747-A4C2-C8B9979F1FC6}">
    <text>Zie p. 50 GW2604.</text>
  </threadedComment>
  <threadedComment ref="T90" dT="2026-03-09T14:59:33.91" personId="{64012C57-9ACD-074A-B90C-6D91F17C4892}" id="{BEA6B704-60F5-264D-9154-477C37C53420}">
    <text>Rerunnen + nieuwe url: /snoeien/lavendel-snoeien/</text>
  </threadedComment>
  <threadedComment ref="T92" dT="2026-03-05T08:41:18.95" personId="{64012C57-9ACD-074A-B90C-6D91F17C4892}" id="{F277CBF8-6F3C-A848-AFDA-9107C3BEA5BD}">
    <text>https://senest.dk/hus-og-have/goer-kaal-paa-ukrudtet-en-gang-for-alle-og-alt-du-skal-bruge-er-en-madvare1</text>
  </threadedComment>
  <threadedComment ref="T93" dT="2026-01-15T08:44:46.73" personId="{DA0B3F1F-A8C5-9242-874F-4EC8B533B8D4}" id="{4135C8B2-0BFE-CF4C-BC87-5A4AFA2CF8A6}">
    <text>Discover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gardenersworldmagazine.nl/groene-school/biodiversiteit/maak-een-vogelslinger/" TargetMode="External"/><Relationship Id="rId21" Type="http://schemas.openxmlformats.org/officeDocument/2006/relationships/hyperlink" Target="https://www.gardenersworldmagazine.nl/groene-school/tuinklussen/vogelverschrikker-maken/" TargetMode="External"/><Relationship Id="rId42" Type="http://schemas.openxmlformats.org/officeDocument/2006/relationships/hyperlink" Target="https://www.gardenersworldmagazine.nl/groene-school/moestuin/5-slimme-moestuinhacks-die-niet-iedereen-kent/" TargetMode="External"/><Relationship Id="rId47" Type="http://schemas.openxmlformats.org/officeDocument/2006/relationships/hyperlink" Target="https://www.gardenersworldmagazine.nl/groene-school/moestuin/blauwe-bessen-kweken/" TargetMode="External"/><Relationship Id="rId63" Type="http://schemas.openxmlformats.org/officeDocument/2006/relationships/hyperlink" Target="https://www.gardenersworldmagazine.nl/groene-school/tuinklussen/dit-zijn-de-8-grootste-fouten-bij-het-bemesten-van-je-planten/" TargetMode="External"/><Relationship Id="rId68" Type="http://schemas.openxmlformats.org/officeDocument/2006/relationships/hyperlink" Target="https://www.gardenersworldmagazine.nl/groene-school/tuinklussen/lente/" TargetMode="External"/><Relationship Id="rId16" Type="http://schemas.openxmlformats.org/officeDocument/2006/relationships/hyperlink" Target="../../../../../:w:/s/SEO/EZsmVZDbYHxNnMh86cEls_ABljnPi8B6OY9_rBymycMBEA?e=hNQFbF" TargetMode="External"/><Relationship Id="rId11" Type="http://schemas.openxmlformats.org/officeDocument/2006/relationships/hyperlink" Target="https://www.gardenersworldmagazine.nl/groene-school/moestuin/moestuincursus/" TargetMode="External"/><Relationship Id="rId24" Type="http://schemas.openxmlformats.org/officeDocument/2006/relationships/hyperlink" Target="https://www.gardenersworldmagazine.nl/planten/miscanthus-sinensis/" TargetMode="External"/><Relationship Id="rId32" Type="http://schemas.openxmlformats.org/officeDocument/2006/relationships/hyperlink" Target="https://www.gardenersworldmagazine.nl/groene-school/snoeien/niet-snoeien-late-winter/" TargetMode="External"/><Relationship Id="rId37" Type="http://schemas.openxmlformats.org/officeDocument/2006/relationships/hyperlink" Target="../../../../../:w:/s/SEO/IQA0PexNoc8MQYFUpKgbdDBMAQnY0JbkqUd7WvX0eZFdUbc?e=V6rwhh" TargetMode="External"/><Relationship Id="rId40" Type="http://schemas.openxmlformats.org/officeDocument/2006/relationships/hyperlink" Target="https://www.gardenersworldmagazine.nl/groene-school/kweken/tomaten-kweken/" TargetMode="External"/><Relationship Id="rId45" Type="http://schemas.openxmlformats.org/officeDocument/2006/relationships/hyperlink" Target="https://www.gardenersworldmagazine.nl/groene-school/tuinklussen/checklist-eind-februari-2026/" TargetMode="External"/><Relationship Id="rId53" Type="http://schemas.openxmlformats.org/officeDocument/2006/relationships/hyperlink" Target="../../../../../:w:/s/SEO/IQA0PexNoc8MQYFUpKgbdDBMAQnY0JbkqUd7WvX0eZFdUbc?e=6CyPnz" TargetMode="External"/><Relationship Id="rId58" Type="http://schemas.openxmlformats.org/officeDocument/2006/relationships/hyperlink" Target="https://www.gardenersworldmagazine.nl/groene-school/moestuin/starten-met-je-moestuin-in-3-stappen/" TargetMode="External"/><Relationship Id="rId66" Type="http://schemas.openxmlformats.org/officeDocument/2006/relationships/hyperlink" Target="https://www.gardenersworldmagazine.nl/groene-school/moestuin/voedselverspilling-voorkomen-volledig-eetbare-groenten/" TargetMode="External"/><Relationship Id="rId74" Type="http://schemas.openxmlformats.org/officeDocument/2006/relationships/hyperlink" Target="https://www.gardenersworldmagazine.nl/groene-school/kamerplanten/planten-terrarium/" TargetMode="External"/><Relationship Id="rId79" Type="http://schemas.microsoft.com/office/2017/10/relationships/threadedComment" Target="../threadedComments/threadedComment1.xml"/><Relationship Id="rId5" Type="http://schemas.openxmlformats.org/officeDocument/2006/relationships/hyperlink" Target="https://www.gardenersworldmagazine.nl/partnerbijdrage/japanse-tuinen-voor-op-je-bucketlist/" TargetMode="External"/><Relationship Id="rId61" Type="http://schemas.openxmlformats.org/officeDocument/2006/relationships/hyperlink" Target="../../../../../:w:/s/SEO/IQCGnpCG22SHQpxFJ8MZVDwtAcCEfzcB5JHHKEXTbFMjL_s?e=6Ad849" TargetMode="External"/><Relationship Id="rId19" Type="http://schemas.openxmlformats.org/officeDocument/2006/relationships/hyperlink" Target="https://www.gardenersworldmagazine.nl/inspiratie/favoriete-rozen/" TargetMode="External"/><Relationship Id="rId14" Type="http://schemas.openxmlformats.org/officeDocument/2006/relationships/hyperlink" Target="https://www.gardenersworldmagazine.nl/groene-school/kamerplanten/winter-problemen/" TargetMode="External"/><Relationship Id="rId22" Type="http://schemas.openxmlformats.org/officeDocument/2006/relationships/hyperlink" Target="https://www.gardenersworldmagazine.nl/groene-school/tuinklussen/compost-maken-in-de-winter/" TargetMode="External"/><Relationship Id="rId27" Type="http://schemas.openxmlformats.org/officeDocument/2006/relationships/hyperlink" Target="https://www.gardenersworldmagazine.nl/groene-school/kamerplanten/rouwvliegjes-bestrijden/" TargetMode="External"/><Relationship Id="rId30" Type="http://schemas.openxmlformats.org/officeDocument/2006/relationships/hyperlink" Target="../../../../../:w:/s/SEO/IQA0PexNoc8MQYFUpKgbdDBMAQnY0JbkqUd7WvX0eZFdUbc?e=NzxsP9" TargetMode="External"/><Relationship Id="rId35" Type="http://schemas.openxmlformats.org/officeDocument/2006/relationships/hyperlink" Target="https://www.gardenersworldmagazine.nl/groene-school/kweken/maak-een-pluktuin-zaaikalender/" TargetMode="External"/><Relationship Id="rId43" Type="http://schemas.openxmlformats.org/officeDocument/2006/relationships/hyperlink" Target="https://www.gardenersworldmagazine.nl/groene-school/moestuin/geld-besparen-met-je-moestuin-meer-oogsten/" TargetMode="External"/><Relationship Id="rId48" Type="http://schemas.openxmlformats.org/officeDocument/2006/relationships/hyperlink" Target="https://www.gardenersworldmagazine.nl/inspiratie/eetbare-planten-in-de-siertuin/" TargetMode="External"/><Relationship Id="rId56" Type="http://schemas.openxmlformats.org/officeDocument/2006/relationships/hyperlink" Target="https://www.gardenersworldmagazine.nl/groene-school/tuinklussen/lente/" TargetMode="External"/><Relationship Id="rId64" Type="http://schemas.openxmlformats.org/officeDocument/2006/relationships/hyperlink" Target="https://www.gardenersworldmagazine.nl/groene-school/snoeien/hortensia-annabelle-snoeien/" TargetMode="External"/><Relationship Id="rId69" Type="http://schemas.openxmlformats.org/officeDocument/2006/relationships/hyperlink" Target="https://www.gardenersworldmagazine.nl/groene-school/snoeien/boerenhortensia-snoeien/" TargetMode="External"/><Relationship Id="rId77" Type="http://schemas.openxmlformats.org/officeDocument/2006/relationships/vmlDrawing" Target="../drawings/vmlDrawing1.vml"/><Relationship Id="rId8" Type="http://schemas.openxmlformats.org/officeDocument/2006/relationships/hyperlink" Target="https://www.gardenersworldmagazine.nl/groene-school/tuinklussen/extreme-kou-tips/" TargetMode="External"/><Relationship Id="rId51" Type="http://schemas.openxmlformats.org/officeDocument/2006/relationships/hyperlink" Target="https://www.gardenersworldmagazine.nl/?p=67895&amp;preview=true" TargetMode="External"/><Relationship Id="rId72" Type="http://schemas.openxmlformats.org/officeDocument/2006/relationships/hyperlink" Target="https://www.gardenersworldmagazine.nl/groene-school/kweken/aardbeien-ziekten-plagen/" TargetMode="External"/><Relationship Id="rId3" Type="http://schemas.openxmlformats.org/officeDocument/2006/relationships/hyperlink" Target="https://www.gardenersworldmagazine.nl/groene-school/tuinklussen/winterkas-optimaal-benutten/" TargetMode="External"/><Relationship Id="rId12" Type="http://schemas.openxmlformats.org/officeDocument/2006/relationships/hyperlink" Target="https://www.gardenersworldmagazine.nl/partnerbijdrage/vlekkenplan-maken/" TargetMode="External"/><Relationship Id="rId17" Type="http://schemas.openxmlformats.org/officeDocument/2006/relationships/hyperlink" Target="https://www.gardenersworldmagazine.nl/groene-school/tuinklussen/checklist-eind-januari-2026/" TargetMode="External"/><Relationship Id="rId25" Type="http://schemas.openxmlformats.org/officeDocument/2006/relationships/hyperlink" Target="https://www.gardenersworldmagazine.nl/groene-school/biodiversiteit/schuilplaats-voor-bladluizenbestrijders/" TargetMode="External"/><Relationship Id="rId33" Type="http://schemas.openxmlformats.org/officeDocument/2006/relationships/hyperlink" Target="https://www.gardenersworldmagazine.nl/groene-school/moestuin/kruiden-groenten-zaaien-in-februari/" TargetMode="External"/><Relationship Id="rId38" Type="http://schemas.openxmlformats.org/officeDocument/2006/relationships/hyperlink" Target="https://www.gardenersworldmagazine.nl/inspiratie/rozenverhalen/" TargetMode="External"/><Relationship Id="rId46" Type="http://schemas.openxmlformats.org/officeDocument/2006/relationships/hyperlink" Target="https://www.gardenersworldmagazine.nl/groene-school/moestuin/onrijpe-tomaten-oogsten/" TargetMode="External"/><Relationship Id="rId59" Type="http://schemas.openxmlformats.org/officeDocument/2006/relationships/hyperlink" Target="https://www.gardenersworldmagazine.nl/groene-school/snoeien/snoeien-in-maart/" TargetMode="External"/><Relationship Id="rId67" Type="http://schemas.openxmlformats.org/officeDocument/2006/relationships/hyperlink" Target="../../../../../:w:/s/SEO/IQA0PexNoc8MQYFUpKgbdDBMAQnY0JbkqUd7WvX0eZFdUbc?e=1osTwb" TargetMode="External"/><Relationship Id="rId20" Type="http://schemas.openxmlformats.org/officeDocument/2006/relationships/hyperlink" Target="https://www.gardenersworldmagazine.nl/groene-school/snoeien/walnotenboom-snoeien/" TargetMode="External"/><Relationship Id="rId41" Type="http://schemas.openxmlformats.org/officeDocument/2006/relationships/hyperlink" Target="../../../../../:w:/s/SEO/IQA0PexNoc8MQYFUpKgbdDBMAQnY0JbkqUd7WvX0eZFdUbc?e=T0mUA1" TargetMode="External"/><Relationship Id="rId54" Type="http://schemas.openxmlformats.org/officeDocument/2006/relationships/hyperlink" Target="../../../../../:w:/s/SEO/IQA0PexNoc8MQYFUpKgbdDBMAQnY0JbkqUd7WvX0eZFdUbc?e=IaioS4" TargetMode="External"/><Relationship Id="rId62" Type="http://schemas.openxmlformats.org/officeDocument/2006/relationships/hyperlink" Target="../../../../../:w:/s/SEO/IQA0PexNoc8MQYFUpKgbdDBMAQnY0JbkqUd7WvX0eZFdUbc?e=QfwYKS" TargetMode="External"/><Relationship Id="rId70" Type="http://schemas.openxmlformats.org/officeDocument/2006/relationships/hyperlink" Target="https://www.gardenersworldmagazine.nl/groene-school/kweken/ridderspoor-zaaien/" TargetMode="External"/><Relationship Id="rId75" Type="http://schemas.openxmlformats.org/officeDocument/2006/relationships/hyperlink" Target="https://www.gardenersworldmagazine.nl/groene-school/tuinklussen/plantensteunen/" TargetMode="External"/><Relationship Id="rId1" Type="http://schemas.openxmlformats.org/officeDocument/2006/relationships/hyperlink" Target="https://www.gardenersworldmagazine.nl/groene-school/kweken/pelargonium-stekken/" TargetMode="External"/><Relationship Id="rId6" Type="http://schemas.openxmlformats.org/officeDocument/2006/relationships/hyperlink" Target="https://www.gardenersworldmagazine.nl/groene-school/tuinklussen/zure-grond-maken/" TargetMode="External"/><Relationship Id="rId15" Type="http://schemas.openxmlformats.org/officeDocument/2006/relationships/hyperlink" Target="https://www.gardenersworldmagazine.nl/groene-school/kamerplanten/kamerplanten-water-geven-basistips/" TargetMode="External"/><Relationship Id="rId23" Type="http://schemas.openxmlformats.org/officeDocument/2006/relationships/hyperlink" Target="https://www.gardenersworldmagazine.nl/groene-school/biodiversiteit/tuindieren-hebben-ons-nodig/" TargetMode="External"/><Relationship Id="rId28" Type="http://schemas.openxmlformats.org/officeDocument/2006/relationships/hyperlink" Target="https://www.gardenersworldmagazine.nl/groene-school/tuinklussen/checklist-januari-week-6-2026-begin-februari-14-tuinklussen/" TargetMode="External"/><Relationship Id="rId36" Type="http://schemas.openxmlformats.org/officeDocument/2006/relationships/hyperlink" Target="https://www.gardenersworldmagazine.nl/inspiratie/eetbare-tuin-ontwerpen/" TargetMode="External"/><Relationship Id="rId49" Type="http://schemas.openxmlformats.org/officeDocument/2006/relationships/hyperlink" Target="../../../../../:w:/s/SEO/IQChdADyaMtPRqVWr0KTiSvmATnrEFHN4RUAn3ia1nnf5m0?e=UqZsNJ" TargetMode="External"/><Relationship Id="rId57" Type="http://schemas.openxmlformats.org/officeDocument/2006/relationships/hyperlink" Target="https://www.gardenersworldmagazine.nl/groene-school/moestuin/moestuin-beginnersfouten/" TargetMode="External"/><Relationship Id="rId10" Type="http://schemas.openxmlformats.org/officeDocument/2006/relationships/hyperlink" Target="https://www.gardenersworldmagazine.nl/groene-school/snoeien/catalpa-snoeien/" TargetMode="External"/><Relationship Id="rId31" Type="http://schemas.openxmlformats.org/officeDocument/2006/relationships/hyperlink" Target="https://www.gardenersworldmagazine.nl/groene-school/kamerplanten/gele-bladeren-plant/" TargetMode="External"/><Relationship Id="rId44" Type="http://schemas.openxmlformats.org/officeDocument/2006/relationships/hyperlink" Target="https://www.gardenersworldmagazine.nl/groene-school/tuinklussen/hergebruik/" TargetMode="External"/><Relationship Id="rId52" Type="http://schemas.openxmlformats.org/officeDocument/2006/relationships/hyperlink" Target="https://www.gardenersworldmagazine.nl/groene-school/tuinklussen/checklist-week-10-2026-begin-maart/" TargetMode="External"/><Relationship Id="rId60" Type="http://schemas.openxmlformats.org/officeDocument/2006/relationships/hyperlink" Target="https://www.gardenersworldmagazine.nl/groene-school/kweken/zaaien-in-maart-groenten-bloemen/" TargetMode="External"/><Relationship Id="rId65" Type="http://schemas.openxmlformats.org/officeDocument/2006/relationships/hyperlink" Target="https://www.gardenersworldmagazine.nl/inspiratie/duurzame-kwekerijen/" TargetMode="External"/><Relationship Id="rId73" Type="http://schemas.openxmlformats.org/officeDocument/2006/relationships/hyperlink" Target="https://fnlmediabv.sharepoint.com/:w:/s/SEO/IQA0PexNoc8MQYFUpKgbdDBMAQnY0JbkqUd7WvX0eZFdUbc?e=PL9GOi" TargetMode="External"/><Relationship Id="rId78" Type="http://schemas.openxmlformats.org/officeDocument/2006/relationships/comments" Target="../comments1.xml"/><Relationship Id="rId4" Type="http://schemas.openxmlformats.org/officeDocument/2006/relationships/hyperlink" Target="https://www.gardenersworldmagazine.nl/groene-school/kamerplanten/planten-voor-in-de-badkamer/" TargetMode="External"/><Relationship Id="rId9" Type="http://schemas.openxmlformats.org/officeDocument/2006/relationships/hyperlink" Target="https://www.gardenersworldmagazine.nl/groene-school/kweken/perkplanten-zaaien-in-januari/" TargetMode="External"/><Relationship Id="rId13" Type="http://schemas.openxmlformats.org/officeDocument/2006/relationships/hyperlink" Target="https://www.gardenersworldmagazine.nl/groene-school/moestuin/moestuingeheim-voor-de-winter/" TargetMode="External"/><Relationship Id="rId18" Type="http://schemas.openxmlformats.org/officeDocument/2006/relationships/hyperlink" Target="https://www.gardenersworldmagazine.nl/inspiratie/favoriete-rozen/" TargetMode="External"/><Relationship Id="rId39" Type="http://schemas.openxmlformats.org/officeDocument/2006/relationships/hyperlink" Target="https://www.gardenersworldmagazine.nl/groene-school/moestuin/perfecte-plek-voor-je-moestuin/" TargetMode="External"/><Relationship Id="rId34" Type="http://schemas.openxmlformats.org/officeDocument/2006/relationships/hyperlink" Target="https://www.gardenersworldmagazine.nl/groene-school/moestuin/moestuin-in-februari/" TargetMode="External"/><Relationship Id="rId50" Type="http://schemas.openxmlformats.org/officeDocument/2006/relationships/hyperlink" Target="https://www.gardenersworldmagazine.nl/groene-school/kamerplanten/schimmel-op-potgrond/" TargetMode="External"/><Relationship Id="rId55" Type="http://schemas.openxmlformats.org/officeDocument/2006/relationships/hyperlink" Target="https://www.gardenersworldmagazine.nl/?p=68128" TargetMode="External"/><Relationship Id="rId76" Type="http://schemas.openxmlformats.org/officeDocument/2006/relationships/printerSettings" Target="../printerSettings/printerSettings1.bin"/><Relationship Id="rId7" Type="http://schemas.openxmlformats.org/officeDocument/2006/relationships/hyperlink" Target="https://www.gardenersworldmagazine.nl/groene-school/tuinklussen/checklist-tuin-week-3-2026-januari-12-klusjes/" TargetMode="External"/><Relationship Id="rId71" Type="http://schemas.openxmlformats.org/officeDocument/2006/relationships/hyperlink" Target="https://www.gardenersworldmagazine.nl/groene-school/moestuin/aardbeien-planten/" TargetMode="External"/><Relationship Id="rId2" Type="http://schemas.openxmlformats.org/officeDocument/2006/relationships/hyperlink" Target="https://www.gardenersworldmagazine.nl/inspiratie/botanische-tuinen-in-de-winter/" TargetMode="External"/><Relationship Id="rId29" Type="http://schemas.openxmlformats.org/officeDocument/2006/relationships/hyperlink" Target="https://www.gardenersworldmagazine.nl/groene-school/moestuin/pepers-kwek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C135-CF27-0541-BE29-74CED251DC87}">
  <dimension ref="A1:AN492"/>
  <sheetViews>
    <sheetView showGridLines="0" tabSelected="1" zoomScale="80" zoomScaleNormal="80" workbookViewId="0">
      <pane xSplit="4" ySplit="3" topLeftCell="E59" activePane="bottomRight" state="frozen"/>
      <selection pane="topRight" activeCell="E1" sqref="E1"/>
      <selection pane="bottomLeft" activeCell="A4" sqref="A4"/>
      <selection pane="bottomRight" activeCell="AN2" sqref="AN1:AU1048576"/>
    </sheetView>
  </sheetViews>
  <sheetFormatPr baseColWidth="10" defaultColWidth="12.5" defaultRowHeight="15" x14ac:dyDescent="0.2"/>
  <cols>
    <col min="1" max="1" width="15.5" style="106" customWidth="1"/>
    <col min="2" max="2" width="35.6640625" style="10" bestFit="1" customWidth="1"/>
    <col min="3" max="3" width="4.6640625" style="10" customWidth="1"/>
    <col min="4" max="4" width="5.1640625" style="10" customWidth="1"/>
    <col min="5" max="5" width="5.6640625" style="10" customWidth="1"/>
    <col min="6" max="6" width="14.6640625" style="10" customWidth="1"/>
    <col min="7" max="7" width="6.5" style="105" customWidth="1"/>
    <col min="8" max="8" width="28.6640625" style="10" customWidth="1"/>
    <col min="9" max="9" width="6.6640625" style="104" customWidth="1"/>
    <col min="10" max="11" width="4.6640625" style="104" customWidth="1"/>
    <col min="12" max="14" width="5.1640625" style="104" customWidth="1"/>
    <col min="15" max="15" width="3.6640625" style="10" customWidth="1"/>
    <col min="16" max="17" width="5.6640625" style="10" customWidth="1"/>
    <col min="18" max="18" width="14.6640625" style="10" customWidth="1"/>
    <col min="19" max="19" width="6.5" style="105" customWidth="1"/>
    <col min="20" max="20" width="24" style="10" customWidth="1"/>
    <col min="21" max="21" width="5.6640625" style="104" customWidth="1"/>
    <col min="22" max="23" width="4.6640625" style="104" customWidth="1"/>
    <col min="24" max="26" width="5.1640625" style="104" customWidth="1"/>
    <col min="27" max="27" width="3.6640625" style="10" customWidth="1"/>
    <col min="28" max="29" width="5.6640625" style="10" customWidth="1"/>
    <col min="30" max="30" width="14.6640625" style="10" customWidth="1"/>
    <col min="31" max="31" width="6.5" style="105" customWidth="1"/>
    <col min="32" max="32" width="22.33203125" style="10" customWidth="1"/>
    <col min="33" max="33" width="6.6640625" style="104" customWidth="1"/>
    <col min="34" max="35" width="4.6640625" style="104" customWidth="1"/>
    <col min="36" max="38" width="5.1640625" style="104" customWidth="1"/>
    <col min="39" max="39" width="3.6640625" style="10" customWidth="1"/>
    <col min="40" max="40" width="41.6640625" style="10" customWidth="1"/>
    <col min="41" max="16384" width="12.5" style="10"/>
  </cols>
  <sheetData>
    <row r="1" spans="1:39" ht="17.25" customHeight="1" x14ac:dyDescent="0.2">
      <c r="A1" s="1"/>
      <c r="B1" s="2" t="s">
        <v>0</v>
      </c>
      <c r="C1" s="3"/>
      <c r="D1" s="4"/>
      <c r="E1" s="5" t="s">
        <v>1</v>
      </c>
      <c r="F1" s="5"/>
      <c r="G1" s="5"/>
      <c r="H1" s="5"/>
      <c r="I1" s="5"/>
      <c r="J1" s="6"/>
      <c r="K1" s="7"/>
      <c r="L1" s="8" t="s">
        <v>2</v>
      </c>
      <c r="M1" s="6"/>
      <c r="N1" s="6"/>
      <c r="O1" s="9"/>
      <c r="P1" s="5" t="s">
        <v>3</v>
      </c>
      <c r="Q1" s="5"/>
      <c r="R1" s="5"/>
      <c r="S1" s="5"/>
      <c r="T1" s="5"/>
      <c r="U1" s="5"/>
      <c r="V1" s="6"/>
      <c r="W1" s="7"/>
      <c r="X1" s="8" t="s">
        <v>2</v>
      </c>
      <c r="Y1" s="6"/>
      <c r="Z1" s="6"/>
      <c r="AA1" s="9"/>
      <c r="AB1" s="5" t="s">
        <v>4</v>
      </c>
      <c r="AC1" s="5"/>
      <c r="AD1" s="5"/>
      <c r="AE1" s="5"/>
      <c r="AF1" s="5"/>
      <c r="AG1" s="5"/>
      <c r="AH1" s="6"/>
      <c r="AI1" s="7"/>
      <c r="AJ1" s="8" t="s">
        <v>2</v>
      </c>
      <c r="AK1" s="6"/>
      <c r="AL1" s="6"/>
      <c r="AM1" s="9"/>
    </row>
    <row r="2" spans="1:39" ht="17.25" customHeight="1" x14ac:dyDescent="0.2">
      <c r="A2" s="1" t="s">
        <v>5</v>
      </c>
      <c r="B2" s="2"/>
      <c r="C2" s="3" t="s">
        <v>6</v>
      </c>
      <c r="D2" s="4" t="s">
        <v>7</v>
      </c>
      <c r="E2" s="11" t="s">
        <v>8</v>
      </c>
      <c r="F2" s="4" t="s">
        <v>9</v>
      </c>
      <c r="G2" s="1" t="s">
        <v>10</v>
      </c>
      <c r="H2" s="4" t="s">
        <v>11</v>
      </c>
      <c r="I2" s="12" t="s">
        <v>12</v>
      </c>
      <c r="J2" s="12" t="s">
        <v>13</v>
      </c>
      <c r="K2" s="12" t="s">
        <v>14</v>
      </c>
      <c r="L2" s="12" t="s">
        <v>15</v>
      </c>
      <c r="M2" s="12" t="s">
        <v>16</v>
      </c>
      <c r="N2" s="12" t="s">
        <v>17</v>
      </c>
      <c r="O2" s="1"/>
      <c r="P2" s="11" t="s">
        <v>8</v>
      </c>
      <c r="Q2" s="1" t="s">
        <v>10</v>
      </c>
      <c r="R2" s="4" t="s">
        <v>9</v>
      </c>
      <c r="S2" s="1" t="s">
        <v>10</v>
      </c>
      <c r="T2" s="4" t="s">
        <v>11</v>
      </c>
      <c r="U2" s="12" t="s">
        <v>12</v>
      </c>
      <c r="V2" s="12" t="s">
        <v>13</v>
      </c>
      <c r="W2" s="12" t="s">
        <v>14</v>
      </c>
      <c r="X2" s="12" t="s">
        <v>15</v>
      </c>
      <c r="Y2" s="12" t="s">
        <v>16</v>
      </c>
      <c r="Z2" s="12" t="s">
        <v>17</v>
      </c>
      <c r="AA2" s="1"/>
      <c r="AB2" s="11" t="s">
        <v>8</v>
      </c>
      <c r="AC2" s="1" t="s">
        <v>10</v>
      </c>
      <c r="AD2" s="4" t="s">
        <v>9</v>
      </c>
      <c r="AE2" s="1" t="s">
        <v>10</v>
      </c>
      <c r="AF2" s="4" t="s">
        <v>11</v>
      </c>
      <c r="AG2" s="12" t="s">
        <v>12</v>
      </c>
      <c r="AH2" s="12" t="s">
        <v>13</v>
      </c>
      <c r="AI2" s="12" t="s">
        <v>14</v>
      </c>
      <c r="AJ2" s="12" t="s">
        <v>15</v>
      </c>
      <c r="AK2" s="12" t="s">
        <v>16</v>
      </c>
      <c r="AL2" s="12" t="s">
        <v>17</v>
      </c>
      <c r="AM2" s="1"/>
    </row>
    <row r="3" spans="1:39" ht="17.25" customHeight="1" x14ac:dyDescent="0.2">
      <c r="A3" s="13"/>
      <c r="E3" s="14"/>
      <c r="F3" s="15"/>
      <c r="G3" s="16"/>
      <c r="H3" s="15"/>
      <c r="I3" s="17"/>
      <c r="J3" s="17"/>
      <c r="K3" s="17"/>
      <c r="L3" s="17"/>
      <c r="M3" s="17"/>
      <c r="N3" s="17"/>
      <c r="O3" s="18"/>
      <c r="P3" s="19"/>
      <c r="Q3" s="16"/>
      <c r="R3" s="15"/>
      <c r="S3" s="16"/>
      <c r="T3" s="15"/>
      <c r="U3" s="17"/>
      <c r="V3" s="17"/>
      <c r="W3" s="17"/>
      <c r="X3" s="17"/>
      <c r="Y3" s="17"/>
      <c r="Z3" s="17"/>
      <c r="AA3" s="16"/>
      <c r="AB3" s="19"/>
      <c r="AC3" s="16"/>
      <c r="AD3" s="15"/>
      <c r="AE3" s="16"/>
      <c r="AF3" s="15"/>
      <c r="AG3" s="17"/>
      <c r="AH3" s="17"/>
      <c r="AI3" s="17"/>
      <c r="AJ3" s="17"/>
      <c r="AK3" s="17"/>
      <c r="AL3" s="17"/>
      <c r="AM3" s="16"/>
    </row>
    <row r="4" spans="1:39" ht="17.25" customHeight="1" x14ac:dyDescent="0.2">
      <c r="A4" s="20">
        <v>46027</v>
      </c>
      <c r="B4" s="21" t="s">
        <v>18</v>
      </c>
      <c r="C4" s="22"/>
      <c r="D4" s="4" t="s">
        <v>19</v>
      </c>
      <c r="E4" s="23"/>
      <c r="F4" s="24"/>
      <c r="G4" s="24"/>
      <c r="H4" s="25"/>
      <c r="I4" s="26"/>
      <c r="J4" s="27"/>
      <c r="K4" s="23"/>
      <c r="L4" s="23"/>
      <c r="M4" s="23"/>
      <c r="N4" s="23"/>
      <c r="O4" s="18"/>
      <c r="P4" s="23" t="s">
        <v>20</v>
      </c>
      <c r="Q4" s="28"/>
      <c r="R4" s="29" t="s">
        <v>21</v>
      </c>
      <c r="S4" s="28"/>
      <c r="T4" s="30" t="s">
        <v>22</v>
      </c>
      <c r="U4" s="31"/>
      <c r="V4" s="27"/>
      <c r="W4" s="23"/>
      <c r="X4" s="23"/>
      <c r="Y4" s="23"/>
      <c r="Z4" s="23"/>
      <c r="AA4" s="16"/>
      <c r="AB4" s="23" t="s">
        <v>23</v>
      </c>
      <c r="AC4" s="28"/>
      <c r="AD4" s="32" t="s">
        <v>24</v>
      </c>
      <c r="AE4" s="28"/>
      <c r="AF4" s="30" t="s">
        <v>25</v>
      </c>
      <c r="AG4" s="26"/>
      <c r="AH4" s="27"/>
      <c r="AI4" s="23"/>
      <c r="AJ4" s="23"/>
      <c r="AK4" s="23"/>
      <c r="AL4" s="23"/>
      <c r="AM4" s="16"/>
    </row>
    <row r="5" spans="1:39" ht="17.25" customHeight="1" x14ac:dyDescent="0.2">
      <c r="A5" s="20">
        <v>46028</v>
      </c>
      <c r="B5" s="21"/>
      <c r="C5" s="33"/>
      <c r="D5" s="4" t="s">
        <v>27</v>
      </c>
      <c r="E5" s="23" t="s">
        <v>23</v>
      </c>
      <c r="F5" s="34" t="s">
        <v>28</v>
      </c>
      <c r="G5" s="24"/>
      <c r="H5" s="35" t="s">
        <v>29</v>
      </c>
      <c r="I5" s="26">
        <v>46031</v>
      </c>
      <c r="J5" s="27"/>
      <c r="K5" s="23"/>
      <c r="L5" s="23"/>
      <c r="M5" s="23"/>
      <c r="N5" s="23"/>
      <c r="O5" s="18"/>
      <c r="P5" s="23" t="s">
        <v>23</v>
      </c>
      <c r="Q5" s="28"/>
      <c r="R5" s="29" t="s">
        <v>21</v>
      </c>
      <c r="S5" s="28"/>
      <c r="T5" s="36" t="s">
        <v>30</v>
      </c>
      <c r="U5" s="31">
        <v>46042</v>
      </c>
      <c r="V5" s="27"/>
      <c r="W5" s="23"/>
      <c r="X5" s="23"/>
      <c r="Y5" s="23"/>
      <c r="Z5" s="23"/>
      <c r="AA5" s="16"/>
      <c r="AB5" s="23"/>
      <c r="AC5" s="28"/>
      <c r="AD5" s="32"/>
      <c r="AE5" s="28"/>
      <c r="AF5" s="29"/>
      <c r="AG5" s="26"/>
      <c r="AH5" s="27"/>
      <c r="AI5" s="23"/>
      <c r="AJ5" s="23"/>
      <c r="AK5" s="23"/>
      <c r="AL5" s="23"/>
      <c r="AM5" s="16"/>
    </row>
    <row r="6" spans="1:39" ht="17.25" customHeight="1" x14ac:dyDescent="0.2">
      <c r="A6" s="20">
        <v>46029</v>
      </c>
      <c r="B6" s="21"/>
      <c r="C6" s="33"/>
      <c r="D6" s="4" t="s">
        <v>31</v>
      </c>
      <c r="E6" s="23"/>
      <c r="F6" s="24"/>
      <c r="G6" s="24"/>
      <c r="H6" s="24"/>
      <c r="I6" s="26"/>
      <c r="J6" s="27"/>
      <c r="K6" s="23"/>
      <c r="L6" s="23"/>
      <c r="M6" s="23"/>
      <c r="N6" s="23"/>
      <c r="O6" s="16"/>
      <c r="P6" s="23" t="s">
        <v>23</v>
      </c>
      <c r="Q6" s="28"/>
      <c r="R6" s="29" t="s">
        <v>28</v>
      </c>
      <c r="S6" s="28"/>
      <c r="T6" s="29" t="s">
        <v>32</v>
      </c>
      <c r="U6" s="31">
        <v>46031</v>
      </c>
      <c r="V6" s="27"/>
      <c r="W6" s="23"/>
      <c r="X6" s="23"/>
      <c r="Y6" s="23"/>
      <c r="Z6" s="23"/>
      <c r="AA6" s="16"/>
      <c r="AB6" s="23"/>
      <c r="AC6" s="28"/>
      <c r="AD6" s="32"/>
      <c r="AE6" s="28"/>
      <c r="AF6" s="29"/>
      <c r="AG6" s="26"/>
      <c r="AH6" s="27"/>
      <c r="AI6" s="23"/>
      <c r="AJ6" s="23"/>
      <c r="AK6" s="23"/>
      <c r="AL6" s="23"/>
      <c r="AM6" s="16"/>
    </row>
    <row r="7" spans="1:39" ht="17.25" customHeight="1" x14ac:dyDescent="0.2">
      <c r="A7" s="20">
        <v>46030</v>
      </c>
      <c r="B7" s="21"/>
      <c r="C7" s="22">
        <f>2</f>
        <v>2</v>
      </c>
      <c r="D7" s="4" t="s">
        <v>33</v>
      </c>
      <c r="E7" s="23"/>
      <c r="F7" s="24"/>
      <c r="G7" s="24"/>
      <c r="H7" s="25"/>
      <c r="I7" s="26"/>
      <c r="J7" s="27"/>
      <c r="K7" s="23"/>
      <c r="L7" s="23"/>
      <c r="M7" s="23"/>
      <c r="N7" s="23"/>
      <c r="O7" s="18"/>
      <c r="P7" s="23" t="s">
        <v>23</v>
      </c>
      <c r="Q7" s="37"/>
      <c r="R7" s="32" t="s">
        <v>21</v>
      </c>
      <c r="S7" s="38"/>
      <c r="T7" s="32" t="s">
        <v>34</v>
      </c>
      <c r="U7" s="31">
        <v>46031</v>
      </c>
      <c r="V7" s="27"/>
      <c r="W7" s="23"/>
      <c r="X7" s="23"/>
      <c r="Y7" s="23"/>
      <c r="Z7" s="23"/>
      <c r="AA7" s="16"/>
      <c r="AB7" s="23"/>
      <c r="AC7" s="37"/>
      <c r="AD7" s="32"/>
      <c r="AE7" s="37"/>
      <c r="AF7" s="30"/>
      <c r="AG7" s="26"/>
      <c r="AH7" s="27"/>
      <c r="AI7" s="23"/>
      <c r="AJ7" s="23"/>
      <c r="AK7" s="23"/>
      <c r="AL7" s="23"/>
      <c r="AM7" s="16"/>
    </row>
    <row r="8" spans="1:39" ht="17.25" customHeight="1" x14ac:dyDescent="0.2">
      <c r="A8" s="20">
        <v>46031</v>
      </c>
      <c r="B8" s="21"/>
      <c r="C8" s="33"/>
      <c r="D8" s="4" t="s">
        <v>35</v>
      </c>
      <c r="E8" s="23"/>
      <c r="F8" s="24"/>
      <c r="G8" s="24"/>
      <c r="H8" s="25"/>
      <c r="I8" s="26"/>
      <c r="J8" s="27"/>
      <c r="K8" s="23"/>
      <c r="L8" s="23"/>
      <c r="M8" s="23"/>
      <c r="N8" s="23"/>
      <c r="O8" s="16"/>
      <c r="P8" s="23"/>
      <c r="Q8" s="37"/>
      <c r="R8" s="32"/>
      <c r="S8" s="28"/>
      <c r="T8" s="36"/>
      <c r="U8" s="31"/>
      <c r="V8" s="27"/>
      <c r="W8" s="23"/>
      <c r="X8" s="23"/>
      <c r="Y8" s="23"/>
      <c r="Z8" s="23"/>
      <c r="AA8" s="16"/>
      <c r="AB8" s="23"/>
      <c r="AC8" s="37"/>
      <c r="AD8" s="32"/>
      <c r="AE8" s="28"/>
      <c r="AF8" s="29"/>
      <c r="AG8" s="26"/>
      <c r="AH8" s="27"/>
      <c r="AI8" s="23"/>
      <c r="AJ8" s="23"/>
      <c r="AK8" s="23"/>
      <c r="AL8" s="23"/>
      <c r="AM8" s="16"/>
    </row>
    <row r="9" spans="1:39" ht="17.25" customHeight="1" x14ac:dyDescent="0.2">
      <c r="A9" s="20">
        <v>46032</v>
      </c>
      <c r="B9" s="21"/>
      <c r="C9" s="33"/>
      <c r="D9" s="4" t="s">
        <v>36</v>
      </c>
      <c r="E9" s="23"/>
      <c r="F9" s="24"/>
      <c r="G9" s="24"/>
      <c r="H9" s="25"/>
      <c r="I9" s="26"/>
      <c r="J9" s="27"/>
      <c r="K9" s="23"/>
      <c r="L9" s="23"/>
      <c r="M9" s="23"/>
      <c r="N9" s="23"/>
      <c r="O9" s="16"/>
      <c r="P9" s="23"/>
      <c r="Q9" s="28"/>
      <c r="R9" s="32"/>
      <c r="S9" s="28"/>
      <c r="T9" s="36"/>
      <c r="U9" s="31"/>
      <c r="V9" s="27"/>
      <c r="W9" s="23"/>
      <c r="X9" s="23"/>
      <c r="Y9" s="23"/>
      <c r="Z9" s="23"/>
      <c r="AA9" s="16"/>
      <c r="AB9" s="23"/>
      <c r="AC9" s="28"/>
      <c r="AD9" s="32"/>
      <c r="AE9" s="28"/>
      <c r="AF9" s="29"/>
      <c r="AG9" s="26"/>
      <c r="AH9" s="27"/>
      <c r="AI9" s="23"/>
      <c r="AJ9" s="23"/>
      <c r="AK9" s="23"/>
      <c r="AL9" s="23"/>
      <c r="AM9" s="16"/>
    </row>
    <row r="10" spans="1:39" ht="17.25" customHeight="1" x14ac:dyDescent="0.2">
      <c r="A10" s="20">
        <v>46033</v>
      </c>
      <c r="B10" s="21"/>
      <c r="C10" s="33"/>
      <c r="D10" s="4" t="s">
        <v>37</v>
      </c>
      <c r="E10" s="23" t="s">
        <v>20</v>
      </c>
      <c r="F10" s="34" t="s">
        <v>28</v>
      </c>
      <c r="G10" s="24"/>
      <c r="H10" s="25" t="s">
        <v>38</v>
      </c>
      <c r="I10" s="26"/>
      <c r="J10" s="27"/>
      <c r="K10" s="23"/>
      <c r="L10" s="23"/>
      <c r="M10" s="23"/>
      <c r="N10" s="23"/>
      <c r="O10" s="16"/>
      <c r="P10" s="23" t="s">
        <v>20</v>
      </c>
      <c r="Q10" s="26"/>
      <c r="R10" s="32" t="s">
        <v>39</v>
      </c>
      <c r="S10" s="38"/>
      <c r="T10" s="36" t="s">
        <v>40</v>
      </c>
      <c r="U10" s="31"/>
      <c r="V10" s="27"/>
      <c r="W10" s="23"/>
      <c r="X10" s="23"/>
      <c r="Y10" s="23"/>
      <c r="Z10" s="23"/>
      <c r="AA10" s="16"/>
      <c r="AB10" s="23"/>
      <c r="AC10" s="26"/>
      <c r="AD10" s="32"/>
      <c r="AE10" s="28"/>
      <c r="AF10" s="29"/>
      <c r="AG10" s="26"/>
      <c r="AH10" s="27"/>
      <c r="AI10" s="23"/>
      <c r="AJ10" s="23"/>
      <c r="AK10" s="23"/>
      <c r="AL10" s="23"/>
      <c r="AM10" s="16"/>
    </row>
    <row r="11" spans="1:39" ht="17.25" customHeight="1" x14ac:dyDescent="0.2">
      <c r="A11" s="39"/>
      <c r="B11" s="40"/>
      <c r="E11" s="14"/>
      <c r="F11" s="15"/>
      <c r="G11" s="16"/>
      <c r="H11" s="15"/>
      <c r="I11" s="17"/>
      <c r="J11" s="17"/>
      <c r="K11" s="17"/>
      <c r="L11" s="17"/>
      <c r="M11" s="17"/>
      <c r="N11" s="17"/>
      <c r="O11" s="18"/>
      <c r="P11" s="14"/>
      <c r="Q11" s="16"/>
      <c r="R11" s="15"/>
      <c r="S11" s="16"/>
      <c r="T11" s="15"/>
      <c r="U11" s="17"/>
      <c r="V11" s="17"/>
      <c r="W11" s="17"/>
      <c r="X11" s="17"/>
      <c r="Y11" s="17"/>
      <c r="Z11" s="17"/>
      <c r="AA11" s="16"/>
      <c r="AB11" s="14"/>
      <c r="AC11" s="16"/>
      <c r="AD11" s="15"/>
      <c r="AE11" s="16"/>
      <c r="AF11" s="15"/>
      <c r="AG11" s="17"/>
      <c r="AH11" s="17"/>
      <c r="AI11" s="17"/>
      <c r="AJ11" s="17"/>
      <c r="AK11" s="17"/>
      <c r="AL11" s="17"/>
      <c r="AM11" s="16"/>
    </row>
    <row r="12" spans="1:39" ht="17.25" customHeight="1" x14ac:dyDescent="0.2">
      <c r="A12" s="20">
        <v>46034</v>
      </c>
      <c r="B12" s="21" t="s">
        <v>41</v>
      </c>
      <c r="C12" s="22"/>
      <c r="D12" s="4" t="s">
        <v>19</v>
      </c>
      <c r="E12" s="23"/>
      <c r="F12" s="24"/>
      <c r="G12" s="24"/>
      <c r="H12" s="24"/>
      <c r="I12" s="26"/>
      <c r="J12" s="27"/>
      <c r="K12" s="23"/>
      <c r="L12" s="23"/>
      <c r="M12" s="23"/>
      <c r="N12" s="23"/>
      <c r="O12" s="18"/>
      <c r="P12" s="23" t="s">
        <v>23</v>
      </c>
      <c r="Q12" s="37"/>
      <c r="R12" s="29" t="s">
        <v>42</v>
      </c>
      <c r="S12" s="28"/>
      <c r="T12" s="30" t="s">
        <v>43</v>
      </c>
      <c r="U12" s="31"/>
      <c r="V12" s="27"/>
      <c r="W12" s="23"/>
      <c r="X12" s="23"/>
      <c r="Y12" s="23"/>
      <c r="Z12" s="23"/>
      <c r="AA12" s="16"/>
      <c r="AB12" s="23"/>
      <c r="AC12" s="28"/>
      <c r="AD12" s="32"/>
      <c r="AE12" s="28"/>
      <c r="AF12" s="30"/>
      <c r="AG12" s="26"/>
      <c r="AH12" s="27"/>
      <c r="AI12" s="23"/>
      <c r="AJ12" s="23"/>
      <c r="AK12" s="23"/>
      <c r="AL12" s="23"/>
      <c r="AM12" s="16"/>
    </row>
    <row r="13" spans="1:39" x14ac:dyDescent="0.2">
      <c r="A13" s="20">
        <v>46035</v>
      </c>
      <c r="B13" s="42"/>
      <c r="C13" s="33"/>
      <c r="D13" s="4" t="s">
        <v>27</v>
      </c>
      <c r="E13" s="23" t="s">
        <v>23</v>
      </c>
      <c r="F13" s="29" t="s">
        <v>44</v>
      </c>
      <c r="G13" s="26"/>
      <c r="H13" s="43" t="s">
        <v>45</v>
      </c>
      <c r="I13" s="26"/>
      <c r="J13" s="27"/>
      <c r="K13" s="23"/>
      <c r="L13" s="23"/>
      <c r="M13" s="23"/>
      <c r="N13" s="23"/>
      <c r="O13" s="18"/>
      <c r="P13" s="23" t="s">
        <v>23</v>
      </c>
      <c r="Q13" s="37"/>
      <c r="R13" s="29" t="s">
        <v>28</v>
      </c>
      <c r="S13" s="28"/>
      <c r="T13" s="30" t="s">
        <v>46</v>
      </c>
      <c r="U13" s="31"/>
      <c r="V13" s="27"/>
      <c r="W13" s="23"/>
      <c r="X13" s="23"/>
      <c r="Y13" s="23"/>
      <c r="Z13" s="23"/>
      <c r="AA13" s="16"/>
      <c r="AB13" s="23" t="s">
        <v>23</v>
      </c>
      <c r="AC13" s="28"/>
      <c r="AD13" s="32" t="s">
        <v>44</v>
      </c>
      <c r="AE13" s="28"/>
      <c r="AF13" s="30" t="s">
        <v>47</v>
      </c>
      <c r="AG13" s="26"/>
      <c r="AH13" s="27"/>
      <c r="AI13" s="23"/>
      <c r="AJ13" s="23"/>
      <c r="AK13" s="23"/>
      <c r="AL13" s="23"/>
      <c r="AM13" s="16"/>
    </row>
    <row r="14" spans="1:39" ht="17.25" customHeight="1" x14ac:dyDescent="0.2">
      <c r="A14" s="20">
        <v>46036</v>
      </c>
      <c r="B14" s="21"/>
      <c r="C14" s="33"/>
      <c r="D14" s="4" t="s">
        <v>31</v>
      </c>
      <c r="E14" s="23" t="s">
        <v>23</v>
      </c>
      <c r="F14" s="29" t="s">
        <v>39</v>
      </c>
      <c r="G14" s="37"/>
      <c r="H14" s="43" t="s">
        <v>48</v>
      </c>
      <c r="I14" s="26"/>
      <c r="J14" s="27"/>
      <c r="K14" s="23"/>
      <c r="L14" s="23"/>
      <c r="M14" s="23"/>
      <c r="N14" s="23"/>
      <c r="O14" s="16"/>
      <c r="P14" s="23" t="s">
        <v>23</v>
      </c>
      <c r="Q14" s="37"/>
      <c r="R14" s="29" t="s">
        <v>39</v>
      </c>
      <c r="S14" s="28"/>
      <c r="T14" s="30" t="s">
        <v>49</v>
      </c>
      <c r="U14" s="31"/>
      <c r="V14" s="27"/>
      <c r="W14" s="23"/>
      <c r="X14" s="23"/>
      <c r="Y14" s="23"/>
      <c r="Z14" s="23"/>
      <c r="AA14" s="16"/>
      <c r="AB14" s="23"/>
      <c r="AC14" s="28"/>
      <c r="AD14" s="32"/>
      <c r="AE14" s="28"/>
      <c r="AF14" s="29"/>
      <c r="AG14" s="26"/>
      <c r="AH14" s="27"/>
      <c r="AI14" s="23"/>
      <c r="AJ14" s="23"/>
      <c r="AK14" s="23"/>
      <c r="AL14" s="23"/>
      <c r="AM14" s="16"/>
    </row>
    <row r="15" spans="1:39" ht="17.25" customHeight="1" x14ac:dyDescent="0.2">
      <c r="A15" s="20">
        <v>46037</v>
      </c>
      <c r="B15" s="21"/>
      <c r="C15" s="22">
        <f>2+1</f>
        <v>3</v>
      </c>
      <c r="D15" s="4" t="s">
        <v>33</v>
      </c>
      <c r="E15" s="23" t="s">
        <v>50</v>
      </c>
      <c r="F15" s="29" t="s">
        <v>44</v>
      </c>
      <c r="G15" s="28"/>
      <c r="H15" s="46" t="s">
        <v>51</v>
      </c>
      <c r="I15" s="26">
        <v>46052</v>
      </c>
      <c r="J15" s="27"/>
      <c r="K15" s="23"/>
      <c r="L15" s="23"/>
      <c r="M15" s="23"/>
      <c r="N15" s="23"/>
      <c r="O15" s="18"/>
      <c r="P15" s="23"/>
      <c r="Q15" s="37"/>
      <c r="R15" s="29"/>
      <c r="S15" s="28"/>
      <c r="T15" s="36"/>
      <c r="U15" s="31"/>
      <c r="V15" s="27"/>
      <c r="W15" s="23"/>
      <c r="X15" s="23"/>
      <c r="Y15" s="23"/>
      <c r="Z15" s="23"/>
      <c r="AA15" s="16"/>
      <c r="AB15" s="23"/>
      <c r="AC15" s="28"/>
      <c r="AD15" s="32"/>
      <c r="AE15" s="37"/>
      <c r="AF15" s="30"/>
      <c r="AG15" s="26"/>
      <c r="AH15" s="27"/>
      <c r="AI15" s="23"/>
      <c r="AJ15" s="23"/>
      <c r="AK15" s="23"/>
      <c r="AL15" s="23"/>
      <c r="AM15" s="16"/>
    </row>
    <row r="16" spans="1:39" ht="17.25" customHeight="1" x14ac:dyDescent="0.2">
      <c r="A16" s="20">
        <v>46038</v>
      </c>
      <c r="B16" s="21"/>
      <c r="C16" s="33"/>
      <c r="D16" s="4" t="s">
        <v>35</v>
      </c>
      <c r="E16" s="23"/>
      <c r="F16" s="24"/>
      <c r="G16" s="24"/>
      <c r="H16" s="24"/>
      <c r="I16" s="26"/>
      <c r="J16" s="27"/>
      <c r="K16" s="23"/>
      <c r="L16" s="23"/>
      <c r="M16" s="23"/>
      <c r="N16" s="23"/>
      <c r="O16" s="16"/>
      <c r="P16" s="23"/>
      <c r="Q16" s="37"/>
      <c r="R16" s="32"/>
      <c r="S16" s="28"/>
      <c r="T16" s="36"/>
      <c r="U16" s="31"/>
      <c r="V16" s="27"/>
      <c r="W16" s="23"/>
      <c r="X16" s="23"/>
      <c r="Y16" s="23"/>
      <c r="Z16" s="23"/>
      <c r="AA16" s="16"/>
      <c r="AB16" s="23"/>
      <c r="AC16" s="37"/>
      <c r="AD16" s="32"/>
      <c r="AE16" s="28"/>
      <c r="AF16" s="29"/>
      <c r="AG16" s="26"/>
      <c r="AH16" s="27"/>
      <c r="AI16" s="23"/>
      <c r="AJ16" s="23"/>
      <c r="AK16" s="23"/>
      <c r="AL16" s="23"/>
      <c r="AM16" s="16"/>
    </row>
    <row r="17" spans="1:40" ht="17.25" customHeight="1" x14ac:dyDescent="0.2">
      <c r="A17" s="20">
        <v>46039</v>
      </c>
      <c r="B17" s="21"/>
      <c r="C17" s="33"/>
      <c r="D17" s="4" t="s">
        <v>36</v>
      </c>
      <c r="E17" s="23" t="s">
        <v>20</v>
      </c>
      <c r="F17" s="34" t="s">
        <v>28</v>
      </c>
      <c r="G17" s="24"/>
      <c r="H17" s="25" t="s">
        <v>52</v>
      </c>
      <c r="I17" s="26"/>
      <c r="J17" s="27"/>
      <c r="K17" s="23"/>
      <c r="L17" s="23"/>
      <c r="M17" s="23"/>
      <c r="N17" s="23"/>
      <c r="O17" s="16"/>
      <c r="P17" s="23" t="s">
        <v>23</v>
      </c>
      <c r="Q17" s="28"/>
      <c r="R17" s="32" t="s">
        <v>53</v>
      </c>
      <c r="S17" s="28"/>
      <c r="T17" s="36" t="s">
        <v>54</v>
      </c>
      <c r="U17" s="31">
        <v>46052</v>
      </c>
      <c r="V17" s="27"/>
      <c r="W17" s="23"/>
      <c r="X17" s="23"/>
      <c r="Y17" s="23"/>
      <c r="Z17" s="23"/>
      <c r="AA17" s="16"/>
      <c r="AB17" s="23"/>
      <c r="AC17" s="28"/>
      <c r="AD17" s="32"/>
      <c r="AE17" s="28"/>
      <c r="AF17" s="29"/>
      <c r="AG17" s="26"/>
      <c r="AH17" s="27"/>
      <c r="AI17" s="23"/>
      <c r="AJ17" s="23"/>
      <c r="AK17" s="23"/>
      <c r="AL17" s="23"/>
      <c r="AM17" s="16"/>
      <c r="AN17" s="47"/>
    </row>
    <row r="18" spans="1:40" ht="17.25" customHeight="1" x14ac:dyDescent="0.2">
      <c r="A18" s="20">
        <v>46040</v>
      </c>
      <c r="B18" s="21"/>
      <c r="C18" s="33"/>
      <c r="D18" s="4" t="s">
        <v>37</v>
      </c>
      <c r="E18" s="23" t="s">
        <v>23</v>
      </c>
      <c r="F18" s="34" t="s">
        <v>28</v>
      </c>
      <c r="G18" s="37"/>
      <c r="H18" s="30" t="s">
        <v>55</v>
      </c>
      <c r="I18" s="26"/>
      <c r="J18" s="27"/>
      <c r="K18" s="23"/>
      <c r="L18" s="23"/>
      <c r="M18" s="23"/>
      <c r="N18" s="23"/>
      <c r="O18" s="16"/>
      <c r="P18" s="23" t="s">
        <v>20</v>
      </c>
      <c r="Q18" s="28"/>
      <c r="R18" s="32" t="s">
        <v>56</v>
      </c>
      <c r="S18" s="28"/>
      <c r="T18" s="36" t="s">
        <v>57</v>
      </c>
      <c r="U18" s="31"/>
      <c r="V18" s="27"/>
      <c r="W18" s="23"/>
      <c r="X18" s="23"/>
      <c r="Y18" s="23"/>
      <c r="Z18" s="23"/>
      <c r="AA18" s="16"/>
      <c r="AB18" s="23"/>
      <c r="AC18" s="28"/>
      <c r="AD18" s="32"/>
      <c r="AE18" s="28"/>
      <c r="AF18" s="29"/>
      <c r="AG18" s="26"/>
      <c r="AH18" s="27"/>
      <c r="AI18" s="23"/>
      <c r="AJ18" s="23"/>
      <c r="AK18" s="23"/>
      <c r="AL18" s="23"/>
      <c r="AM18" s="16"/>
      <c r="AN18" s="47"/>
    </row>
    <row r="19" spans="1:40" ht="17.25" customHeight="1" x14ac:dyDescent="0.2">
      <c r="A19" s="48"/>
      <c r="B19" s="21"/>
      <c r="C19" s="49"/>
      <c r="D19" s="4"/>
      <c r="E19" s="14"/>
      <c r="F19" s="15"/>
      <c r="G19" s="16"/>
      <c r="H19" s="15"/>
      <c r="I19" s="17"/>
      <c r="J19" s="17"/>
      <c r="K19" s="17"/>
      <c r="L19" s="17"/>
      <c r="M19" s="17"/>
      <c r="N19" s="17"/>
      <c r="O19" s="15"/>
      <c r="P19" s="14"/>
      <c r="Q19" s="16"/>
      <c r="R19" s="15"/>
      <c r="S19" s="16"/>
      <c r="T19" s="15"/>
      <c r="U19" s="17"/>
      <c r="V19" s="17"/>
      <c r="W19" s="17"/>
      <c r="X19" s="17"/>
      <c r="Y19" s="17"/>
      <c r="Z19" s="17"/>
      <c r="AA19" s="15"/>
      <c r="AB19" s="14"/>
      <c r="AC19" s="16"/>
      <c r="AD19" s="15"/>
      <c r="AE19" s="16"/>
      <c r="AF19" s="15"/>
      <c r="AG19" s="17"/>
      <c r="AH19" s="17"/>
      <c r="AI19" s="17"/>
      <c r="AJ19" s="17"/>
      <c r="AK19" s="17"/>
      <c r="AL19" s="17"/>
      <c r="AM19" s="15"/>
      <c r="AN19" s="47"/>
    </row>
    <row r="20" spans="1:40" ht="17.25" customHeight="1" x14ac:dyDescent="0.2">
      <c r="A20" s="50">
        <v>46041</v>
      </c>
      <c r="B20" s="21"/>
      <c r="C20" s="22"/>
      <c r="D20" s="4" t="s">
        <v>19</v>
      </c>
      <c r="E20" s="23" t="s">
        <v>58</v>
      </c>
      <c r="F20" s="51" t="s">
        <v>56</v>
      </c>
      <c r="G20" s="24"/>
      <c r="H20" s="24" t="s">
        <v>59</v>
      </c>
      <c r="I20" s="26"/>
      <c r="J20" s="27"/>
      <c r="K20" s="23"/>
      <c r="L20" s="23"/>
      <c r="M20" s="23"/>
      <c r="N20" s="23"/>
      <c r="O20" s="18"/>
      <c r="P20" s="23"/>
      <c r="Q20" s="28"/>
      <c r="R20" s="32"/>
      <c r="S20" s="28"/>
      <c r="T20" s="32"/>
      <c r="U20" s="26"/>
      <c r="V20" s="27"/>
      <c r="W20" s="23"/>
      <c r="X20" s="23"/>
      <c r="Y20" s="23"/>
      <c r="Z20" s="23"/>
      <c r="AA20" s="16"/>
      <c r="AB20" s="23" t="s">
        <v>23</v>
      </c>
      <c r="AC20" s="28"/>
      <c r="AD20" s="32" t="s">
        <v>24</v>
      </c>
      <c r="AE20" s="28"/>
      <c r="AF20" s="30" t="s">
        <v>60</v>
      </c>
      <c r="AG20" s="26"/>
      <c r="AH20" s="27"/>
      <c r="AI20" s="23"/>
      <c r="AJ20" s="23"/>
      <c r="AK20" s="23"/>
      <c r="AL20" s="23"/>
      <c r="AM20" s="16"/>
      <c r="AN20" s="52"/>
    </row>
    <row r="21" spans="1:40" ht="17.25" customHeight="1" x14ac:dyDescent="0.2">
      <c r="A21" s="50">
        <v>46042</v>
      </c>
      <c r="B21" s="21" t="s">
        <v>61</v>
      </c>
      <c r="C21" s="22"/>
      <c r="D21" s="4" t="s">
        <v>27</v>
      </c>
      <c r="E21" s="23" t="s">
        <v>20</v>
      </c>
      <c r="F21" s="29" t="s">
        <v>42</v>
      </c>
      <c r="G21" s="37"/>
      <c r="H21" s="30" t="s">
        <v>62</v>
      </c>
      <c r="I21" s="26"/>
      <c r="J21" s="27"/>
      <c r="K21" s="23"/>
      <c r="L21" s="23"/>
      <c r="M21" s="23"/>
      <c r="N21" s="23"/>
      <c r="O21" s="18"/>
      <c r="P21" s="23"/>
      <c r="Q21" s="28"/>
      <c r="R21" s="32"/>
      <c r="S21" s="28"/>
      <c r="T21" s="32"/>
      <c r="U21" s="26"/>
      <c r="V21" s="27"/>
      <c r="W21" s="23"/>
      <c r="X21" s="23"/>
      <c r="Y21" s="23"/>
      <c r="Z21" s="23"/>
      <c r="AA21" s="16"/>
      <c r="AB21" s="23" t="s">
        <v>23</v>
      </c>
      <c r="AC21" s="28"/>
      <c r="AD21" s="32" t="s">
        <v>53</v>
      </c>
      <c r="AE21" s="28"/>
      <c r="AF21" s="30" t="s">
        <v>63</v>
      </c>
      <c r="AG21" s="26"/>
      <c r="AH21" s="27"/>
      <c r="AI21" s="23"/>
      <c r="AJ21" s="23"/>
      <c r="AK21" s="23"/>
      <c r="AL21" s="23"/>
      <c r="AM21" s="16"/>
      <c r="AN21" s="53"/>
    </row>
    <row r="22" spans="1:40" ht="17.25" customHeight="1" x14ac:dyDescent="0.2">
      <c r="A22" s="50">
        <v>46043</v>
      </c>
      <c r="B22" s="21"/>
      <c r="C22" s="22"/>
      <c r="D22" s="4" t="s">
        <v>31</v>
      </c>
      <c r="E22" s="23" t="s">
        <v>20</v>
      </c>
      <c r="F22" s="29" t="s">
        <v>44</v>
      </c>
      <c r="G22" s="28"/>
      <c r="H22" s="43" t="s">
        <v>64</v>
      </c>
      <c r="I22" s="26"/>
      <c r="J22" s="27"/>
      <c r="K22" s="23"/>
      <c r="L22" s="23"/>
      <c r="M22" s="23"/>
      <c r="N22" s="23"/>
      <c r="O22" s="18"/>
      <c r="P22" s="23" t="s">
        <v>20</v>
      </c>
      <c r="Q22" s="28"/>
      <c r="R22" s="29" t="s">
        <v>28</v>
      </c>
      <c r="S22" s="28"/>
      <c r="T22" s="36" t="s">
        <v>65</v>
      </c>
      <c r="U22" s="26"/>
      <c r="V22" s="27"/>
      <c r="W22" s="23"/>
      <c r="X22" s="23"/>
      <c r="Y22" s="23"/>
      <c r="Z22" s="23"/>
      <c r="AA22" s="16"/>
      <c r="AB22" s="23"/>
      <c r="AC22" s="28"/>
      <c r="AD22" s="32"/>
      <c r="AE22" s="28"/>
      <c r="AF22" s="29"/>
      <c r="AG22" s="26"/>
      <c r="AH22" s="27"/>
      <c r="AI22" s="23"/>
      <c r="AJ22" s="23"/>
      <c r="AK22" s="23"/>
      <c r="AL22" s="23"/>
      <c r="AM22" s="16"/>
      <c r="AN22" s="53"/>
    </row>
    <row r="23" spans="1:40" ht="17.25" customHeight="1" x14ac:dyDescent="0.2">
      <c r="A23" s="50">
        <v>46044</v>
      </c>
      <c r="B23" s="21"/>
      <c r="C23" s="22">
        <f>2+2</f>
        <v>4</v>
      </c>
      <c r="D23" s="4" t="s">
        <v>33</v>
      </c>
      <c r="E23" s="23" t="s">
        <v>50</v>
      </c>
      <c r="F23" s="29" t="s">
        <v>44</v>
      </c>
      <c r="G23" s="28"/>
      <c r="H23" s="46" t="s">
        <v>66</v>
      </c>
      <c r="I23" s="26"/>
      <c r="J23" s="27"/>
      <c r="K23" s="23"/>
      <c r="L23" s="23"/>
      <c r="M23" s="23"/>
      <c r="N23" s="23"/>
      <c r="O23" s="18"/>
      <c r="P23" s="23"/>
      <c r="Q23" s="28"/>
      <c r="R23" s="32"/>
      <c r="S23" s="38"/>
      <c r="T23" s="32"/>
      <c r="U23" s="26"/>
      <c r="V23" s="27"/>
      <c r="W23" s="23"/>
      <c r="X23" s="23"/>
      <c r="Y23" s="23"/>
      <c r="Z23" s="23"/>
      <c r="AA23" s="16"/>
      <c r="AB23" s="23"/>
      <c r="AC23" s="28"/>
      <c r="AD23" s="32"/>
      <c r="AE23" s="28"/>
      <c r="AF23" s="29"/>
      <c r="AG23" s="26"/>
      <c r="AH23" s="27"/>
      <c r="AI23" s="23"/>
      <c r="AJ23" s="23"/>
      <c r="AK23" s="23"/>
      <c r="AL23" s="23"/>
      <c r="AM23" s="16"/>
      <c r="AN23" s="53"/>
    </row>
    <row r="24" spans="1:40" ht="17.25" customHeight="1" x14ac:dyDescent="0.2">
      <c r="A24" s="50">
        <v>46045</v>
      </c>
      <c r="B24" s="21"/>
      <c r="C24" s="22"/>
      <c r="D24" s="4" t="s">
        <v>35</v>
      </c>
      <c r="E24" s="23"/>
      <c r="F24" s="32"/>
      <c r="G24" s="24"/>
      <c r="H24" s="54"/>
      <c r="I24" s="26"/>
      <c r="J24" s="27"/>
      <c r="K24" s="23"/>
      <c r="L24" s="23"/>
      <c r="M24" s="23"/>
      <c r="N24" s="23"/>
      <c r="O24" s="16"/>
      <c r="P24" s="23"/>
      <c r="Q24" s="37"/>
      <c r="R24" s="32"/>
      <c r="S24" s="28"/>
      <c r="T24" s="32"/>
      <c r="U24" s="26"/>
      <c r="V24" s="27"/>
      <c r="W24" s="23"/>
      <c r="X24" s="23"/>
      <c r="Y24" s="23"/>
      <c r="Z24" s="23"/>
      <c r="AA24" s="18"/>
      <c r="AB24" s="23"/>
      <c r="AC24" s="28"/>
      <c r="AD24" s="32"/>
      <c r="AE24" s="28"/>
      <c r="AF24" s="29"/>
      <c r="AG24" s="30"/>
      <c r="AH24" s="27"/>
      <c r="AI24" s="23"/>
      <c r="AJ24" s="23"/>
      <c r="AK24" s="23"/>
      <c r="AL24" s="23"/>
      <c r="AM24" s="16"/>
      <c r="AN24" s="53"/>
    </row>
    <row r="25" spans="1:40" ht="17.25" customHeight="1" x14ac:dyDescent="0.2">
      <c r="A25" s="50">
        <v>46046</v>
      </c>
      <c r="B25" s="21"/>
      <c r="C25" s="22"/>
      <c r="D25" s="4" t="s">
        <v>36</v>
      </c>
      <c r="E25" s="23"/>
      <c r="F25" s="32"/>
      <c r="G25" s="37"/>
      <c r="H25" s="55"/>
      <c r="I25" s="26"/>
      <c r="J25" s="27"/>
      <c r="K25" s="23"/>
      <c r="L25" s="23"/>
      <c r="M25" s="23"/>
      <c r="N25" s="23"/>
      <c r="O25" s="15"/>
      <c r="P25" s="23"/>
      <c r="Q25" s="28"/>
      <c r="R25" s="32"/>
      <c r="S25" s="28"/>
      <c r="T25" s="30"/>
      <c r="U25" s="26"/>
      <c r="V25" s="27"/>
      <c r="W25" s="23"/>
      <c r="X25" s="23"/>
      <c r="Y25" s="23"/>
      <c r="Z25" s="23"/>
      <c r="AA25" s="16"/>
      <c r="AB25" s="23"/>
      <c r="AC25" s="28"/>
      <c r="AD25" s="32"/>
      <c r="AE25" s="28"/>
      <c r="AF25" s="29"/>
      <c r="AG25" s="26"/>
      <c r="AH25" s="27"/>
      <c r="AI25" s="23"/>
      <c r="AJ25" s="23"/>
      <c r="AK25" s="23"/>
      <c r="AL25" s="23"/>
      <c r="AM25" s="16"/>
      <c r="AN25" s="47"/>
    </row>
    <row r="26" spans="1:40" ht="17.25" customHeight="1" x14ac:dyDescent="0.2">
      <c r="A26" s="50">
        <v>46047</v>
      </c>
      <c r="B26" s="21"/>
      <c r="C26" s="22"/>
      <c r="D26" s="4" t="s">
        <v>37</v>
      </c>
      <c r="E26" s="23" t="s">
        <v>58</v>
      </c>
      <c r="F26" s="34" t="s">
        <v>28</v>
      </c>
      <c r="G26" s="37"/>
      <c r="H26" s="30" t="s">
        <v>67</v>
      </c>
      <c r="I26" s="26"/>
      <c r="J26" s="27"/>
      <c r="K26" s="23"/>
      <c r="L26" s="23"/>
      <c r="M26" s="23"/>
      <c r="N26" s="23"/>
      <c r="O26" s="15"/>
      <c r="P26" s="23"/>
      <c r="Q26" s="28"/>
      <c r="R26" s="32"/>
      <c r="S26" s="29"/>
      <c r="T26" s="56"/>
      <c r="U26" s="26"/>
      <c r="V26" s="27"/>
      <c r="W26" s="23"/>
      <c r="X26" s="23"/>
      <c r="Y26" s="23"/>
      <c r="Z26" s="23"/>
      <c r="AA26" s="16"/>
      <c r="AB26" s="23"/>
      <c r="AC26" s="28"/>
      <c r="AD26" s="32"/>
      <c r="AE26" s="28"/>
      <c r="AF26" s="29"/>
      <c r="AG26" s="26"/>
      <c r="AH26" s="27"/>
      <c r="AI26" s="23"/>
      <c r="AJ26" s="23"/>
      <c r="AK26" s="23"/>
      <c r="AL26" s="23"/>
      <c r="AM26" s="16"/>
      <c r="AN26" s="47"/>
    </row>
    <row r="27" spans="1:40" ht="17.25" customHeight="1" x14ac:dyDescent="0.2">
      <c r="A27" s="48"/>
      <c r="B27" s="21"/>
      <c r="C27" s="49"/>
      <c r="D27" s="4"/>
      <c r="E27" s="14"/>
      <c r="F27" s="15"/>
      <c r="G27" s="16"/>
      <c r="H27" s="15"/>
      <c r="I27" s="17"/>
      <c r="J27" s="17"/>
      <c r="K27" s="17"/>
      <c r="L27" s="17"/>
      <c r="M27" s="17"/>
      <c r="N27" s="17"/>
      <c r="O27" s="15"/>
      <c r="P27" s="14"/>
      <c r="Q27" s="16"/>
      <c r="R27" s="15"/>
      <c r="S27" s="16"/>
      <c r="T27" s="15"/>
      <c r="U27" s="17"/>
      <c r="V27" s="17"/>
      <c r="W27" s="17"/>
      <c r="X27" s="17"/>
      <c r="Y27" s="17"/>
      <c r="Z27" s="17"/>
      <c r="AA27" s="15"/>
      <c r="AB27" s="14"/>
      <c r="AC27" s="16"/>
      <c r="AD27" s="15"/>
      <c r="AE27" s="16"/>
      <c r="AF27" s="15"/>
      <c r="AG27" s="17"/>
      <c r="AH27" s="17"/>
      <c r="AI27" s="17"/>
      <c r="AJ27" s="17"/>
      <c r="AK27" s="17"/>
      <c r="AL27" s="17"/>
      <c r="AM27" s="15"/>
      <c r="AN27" s="47"/>
    </row>
    <row r="28" spans="1:40" ht="17.25" customHeight="1" x14ac:dyDescent="0.2">
      <c r="A28" s="50">
        <v>46048</v>
      </c>
      <c r="B28" s="21"/>
      <c r="C28" s="22"/>
      <c r="D28" s="4" t="s">
        <v>19</v>
      </c>
      <c r="E28" s="23" t="s">
        <v>23</v>
      </c>
      <c r="F28" s="32" t="s">
        <v>28</v>
      </c>
      <c r="G28" s="28"/>
      <c r="H28" s="30" t="s">
        <v>68</v>
      </c>
      <c r="I28" s="26"/>
      <c r="J28" s="27"/>
      <c r="K28" s="23"/>
      <c r="L28" s="23"/>
      <c r="M28" s="23"/>
      <c r="N28" s="23"/>
      <c r="O28" s="18"/>
      <c r="P28" s="23"/>
      <c r="Q28" s="29"/>
      <c r="R28" s="29"/>
      <c r="S28" s="28"/>
      <c r="T28" s="36"/>
      <c r="U28" s="26"/>
      <c r="V28" s="27"/>
      <c r="W28" s="23"/>
      <c r="X28" s="23"/>
      <c r="Y28" s="23"/>
      <c r="Z28" s="23" t="s">
        <v>69</v>
      </c>
      <c r="AA28" s="16"/>
      <c r="AB28" s="23" t="s">
        <v>23</v>
      </c>
      <c r="AC28" s="28"/>
      <c r="AD28" s="32" t="s">
        <v>24</v>
      </c>
      <c r="AE28" s="28"/>
      <c r="AF28" s="30" t="s">
        <v>70</v>
      </c>
      <c r="AG28" s="26"/>
      <c r="AH28" s="27"/>
      <c r="AI28" s="23"/>
      <c r="AJ28" s="23"/>
      <c r="AK28" s="23"/>
      <c r="AL28" s="23"/>
      <c r="AM28" s="16"/>
      <c r="AN28" s="47"/>
    </row>
    <row r="29" spans="1:40" ht="17.25" customHeight="1" x14ac:dyDescent="0.2">
      <c r="A29" s="50">
        <v>46049</v>
      </c>
      <c r="B29" s="57" t="s">
        <v>71</v>
      </c>
      <c r="C29" s="22"/>
      <c r="D29" s="4" t="s">
        <v>27</v>
      </c>
      <c r="E29" s="23"/>
      <c r="F29" s="24"/>
      <c r="G29" s="24"/>
      <c r="H29" s="25"/>
      <c r="I29" s="26"/>
      <c r="J29" s="27"/>
      <c r="K29" s="23"/>
      <c r="L29" s="23"/>
      <c r="M29" s="23"/>
      <c r="N29" s="23"/>
      <c r="O29" s="16"/>
      <c r="P29" s="23"/>
      <c r="Q29" s="28"/>
      <c r="R29" s="32"/>
      <c r="S29" s="28"/>
      <c r="T29" s="36"/>
      <c r="U29" s="26"/>
      <c r="V29" s="27"/>
      <c r="W29" s="23"/>
      <c r="X29" s="23"/>
      <c r="Y29" s="23"/>
      <c r="Z29" s="23"/>
      <c r="AA29" s="16"/>
      <c r="AB29" s="23" t="s">
        <v>23</v>
      </c>
      <c r="AC29" s="28"/>
      <c r="AD29" s="32" t="s">
        <v>72</v>
      </c>
      <c r="AE29" s="28"/>
      <c r="AF29" s="30" t="s">
        <v>73</v>
      </c>
      <c r="AG29" s="26"/>
      <c r="AH29" s="27"/>
      <c r="AI29" s="23"/>
      <c r="AJ29" s="23"/>
      <c r="AK29" s="23"/>
      <c r="AL29" s="23"/>
      <c r="AM29" s="16"/>
      <c r="AN29" s="47"/>
    </row>
    <row r="30" spans="1:40" ht="17.25" customHeight="1" x14ac:dyDescent="0.2">
      <c r="A30" s="50">
        <v>46050</v>
      </c>
      <c r="B30" s="21"/>
      <c r="C30" s="22"/>
      <c r="D30" s="4" t="s">
        <v>31</v>
      </c>
      <c r="E30" s="23" t="s">
        <v>58</v>
      </c>
      <c r="F30" s="29" t="s">
        <v>28</v>
      </c>
      <c r="G30" s="28"/>
      <c r="H30" s="30" t="s">
        <v>74</v>
      </c>
      <c r="I30" s="26"/>
      <c r="J30" s="27"/>
      <c r="K30" s="23"/>
      <c r="L30" s="23"/>
      <c r="M30" s="23"/>
      <c r="N30" s="23"/>
      <c r="O30" s="18"/>
      <c r="P30" s="23" t="s">
        <v>58</v>
      </c>
      <c r="Q30" s="37"/>
      <c r="R30" s="29" t="s">
        <v>75</v>
      </c>
      <c r="S30" s="28"/>
      <c r="T30" s="30" t="s">
        <v>76</v>
      </c>
      <c r="U30" s="26"/>
      <c r="V30" s="27"/>
      <c r="W30" s="23"/>
      <c r="X30" s="23"/>
      <c r="Y30" s="23"/>
      <c r="Z30" s="23"/>
      <c r="AA30" s="16"/>
      <c r="AB30" s="23"/>
      <c r="AC30" s="28"/>
      <c r="AD30" s="32"/>
      <c r="AE30" s="58"/>
      <c r="AF30" s="59"/>
      <c r="AG30" s="26"/>
      <c r="AH30" s="27"/>
      <c r="AI30" s="23"/>
      <c r="AJ30" s="23"/>
      <c r="AK30" s="23"/>
      <c r="AL30" s="23"/>
      <c r="AM30" s="16"/>
    </row>
    <row r="31" spans="1:40" ht="17.25" customHeight="1" x14ac:dyDescent="0.2">
      <c r="A31" s="50">
        <v>46051</v>
      </c>
      <c r="B31" s="21"/>
      <c r="C31" s="22">
        <v>5</v>
      </c>
      <c r="D31" s="4" t="s">
        <v>33</v>
      </c>
      <c r="E31" s="23" t="s">
        <v>50</v>
      </c>
      <c r="F31" s="29" t="s">
        <v>44</v>
      </c>
      <c r="G31" s="28"/>
      <c r="H31" s="29" t="s">
        <v>77</v>
      </c>
      <c r="I31" s="26"/>
      <c r="J31" s="27"/>
      <c r="K31" s="23"/>
      <c r="L31" s="23"/>
      <c r="M31" s="23"/>
      <c r="N31" s="23"/>
      <c r="O31" s="18"/>
      <c r="P31" s="23" t="s">
        <v>23</v>
      </c>
      <c r="Q31" s="28"/>
      <c r="R31" s="32" t="s">
        <v>44</v>
      </c>
      <c r="S31" s="28"/>
      <c r="T31" s="36" t="s">
        <v>78</v>
      </c>
      <c r="U31" s="26"/>
      <c r="V31" s="27"/>
      <c r="W31" s="23"/>
      <c r="X31" s="23"/>
      <c r="Y31" s="23"/>
      <c r="Z31" s="23"/>
      <c r="AA31" s="16"/>
      <c r="AB31" s="23"/>
      <c r="AC31" s="28"/>
      <c r="AD31" s="32"/>
      <c r="AE31" s="58"/>
      <c r="AF31" s="30"/>
      <c r="AG31" s="26"/>
      <c r="AH31" s="27"/>
      <c r="AI31" s="23"/>
      <c r="AJ31" s="23"/>
      <c r="AK31" s="23"/>
      <c r="AL31" s="23"/>
      <c r="AM31" s="16"/>
    </row>
    <row r="32" spans="1:40" ht="17.25" customHeight="1" x14ac:dyDescent="0.2">
      <c r="A32" s="50">
        <v>46052</v>
      </c>
      <c r="B32" s="21" t="s">
        <v>79</v>
      </c>
      <c r="C32" s="22"/>
      <c r="D32" s="4" t="s">
        <v>35</v>
      </c>
      <c r="E32" s="23"/>
      <c r="F32" s="24"/>
      <c r="G32" s="24"/>
      <c r="H32" s="25"/>
      <c r="I32" s="26"/>
      <c r="J32" s="27"/>
      <c r="K32" s="23"/>
      <c r="L32" s="23"/>
      <c r="M32" s="23"/>
      <c r="N32" s="23"/>
      <c r="O32" s="16"/>
      <c r="P32" s="23" t="s">
        <v>58</v>
      </c>
      <c r="Q32" s="28"/>
      <c r="R32" s="32" t="s">
        <v>56</v>
      </c>
      <c r="S32" s="28"/>
      <c r="T32" s="36" t="s">
        <v>80</v>
      </c>
      <c r="U32" s="26"/>
      <c r="V32" s="27"/>
      <c r="W32" s="23"/>
      <c r="X32" s="23"/>
      <c r="Y32" s="23"/>
      <c r="Z32" s="23"/>
      <c r="AA32" s="16"/>
      <c r="AB32" s="23" t="s">
        <v>23</v>
      </c>
      <c r="AC32" s="28"/>
      <c r="AD32" s="32" t="s">
        <v>53</v>
      </c>
      <c r="AE32" s="28"/>
      <c r="AF32" s="29" t="s">
        <v>81</v>
      </c>
      <c r="AG32" s="30"/>
      <c r="AH32" s="27"/>
      <c r="AI32" s="23"/>
      <c r="AJ32" s="23"/>
      <c r="AK32" s="23"/>
      <c r="AL32" s="23"/>
      <c r="AM32" s="16"/>
    </row>
    <row r="33" spans="1:39" ht="17.25" customHeight="1" x14ac:dyDescent="0.2">
      <c r="A33" s="50">
        <v>46053</v>
      </c>
      <c r="B33" s="21" t="s">
        <v>79</v>
      </c>
      <c r="C33" s="22"/>
      <c r="D33" s="4" t="s">
        <v>36</v>
      </c>
      <c r="E33" s="23"/>
      <c r="F33" s="24"/>
      <c r="G33" s="24"/>
      <c r="H33" s="24"/>
      <c r="I33" s="26"/>
      <c r="J33" s="27"/>
      <c r="K33" s="23"/>
      <c r="L33" s="23"/>
      <c r="M33" s="23"/>
      <c r="N33" s="23"/>
      <c r="O33" s="16"/>
      <c r="P33" s="23"/>
      <c r="Q33" s="28"/>
      <c r="R33" s="32"/>
      <c r="S33" s="28"/>
      <c r="T33" s="36"/>
      <c r="U33" s="26"/>
      <c r="V33" s="27"/>
      <c r="W33" s="23"/>
      <c r="X33" s="23"/>
      <c r="Y33" s="23"/>
      <c r="Z33" s="23"/>
      <c r="AA33" s="16"/>
      <c r="AB33" s="23" t="s">
        <v>23</v>
      </c>
      <c r="AC33" s="28"/>
      <c r="AD33" s="32" t="s">
        <v>53</v>
      </c>
      <c r="AE33" s="28"/>
      <c r="AF33" s="29" t="s">
        <v>82</v>
      </c>
      <c r="AG33" s="26"/>
      <c r="AH33" s="27"/>
      <c r="AI33" s="23"/>
      <c r="AJ33" s="23"/>
      <c r="AK33" s="23"/>
      <c r="AL33" s="23"/>
      <c r="AM33" s="16"/>
    </row>
    <row r="34" spans="1:39" ht="17.25" customHeight="1" x14ac:dyDescent="0.2">
      <c r="A34" s="50">
        <v>46054</v>
      </c>
      <c r="B34" s="21" t="s">
        <v>83</v>
      </c>
      <c r="C34" s="22"/>
      <c r="D34" s="4" t="s">
        <v>37</v>
      </c>
      <c r="E34" s="23" t="s">
        <v>20</v>
      </c>
      <c r="F34" s="34" t="s">
        <v>28</v>
      </c>
      <c r="G34" s="37"/>
      <c r="H34" s="30" t="s">
        <v>84</v>
      </c>
      <c r="I34" s="26"/>
      <c r="J34" s="27"/>
      <c r="K34" s="23"/>
      <c r="L34" s="23"/>
      <c r="M34" s="23"/>
      <c r="N34" s="23"/>
      <c r="O34" s="16"/>
      <c r="P34" s="23" t="s">
        <v>58</v>
      </c>
      <c r="Q34" s="28"/>
      <c r="R34" s="32" t="s">
        <v>53</v>
      </c>
      <c r="S34" s="28"/>
      <c r="T34" s="36" t="s">
        <v>85</v>
      </c>
      <c r="U34" s="26"/>
      <c r="V34" s="27"/>
      <c r="W34" s="23"/>
      <c r="X34" s="23"/>
      <c r="Y34" s="23"/>
      <c r="Z34" s="23"/>
      <c r="AA34" s="16"/>
      <c r="AB34" s="23" t="s">
        <v>23</v>
      </c>
      <c r="AC34" s="28"/>
      <c r="AD34" s="32" t="s">
        <v>53</v>
      </c>
      <c r="AE34" s="28"/>
      <c r="AF34" s="29" t="s">
        <v>86</v>
      </c>
      <c r="AG34" s="26"/>
      <c r="AH34" s="27"/>
      <c r="AI34" s="23"/>
      <c r="AJ34" s="23"/>
      <c r="AK34" s="23"/>
      <c r="AL34" s="23"/>
      <c r="AM34" s="16"/>
    </row>
    <row r="35" spans="1:39" ht="17.25" customHeight="1" x14ac:dyDescent="0.2">
      <c r="A35" s="48"/>
      <c r="B35" s="60"/>
      <c r="C35" s="61"/>
      <c r="D35" s="4"/>
      <c r="E35" s="14"/>
      <c r="F35" s="15"/>
      <c r="G35" s="16"/>
      <c r="H35" s="15"/>
      <c r="I35" s="17"/>
      <c r="J35" s="17"/>
      <c r="K35" s="17"/>
      <c r="L35" s="17"/>
      <c r="M35" s="17"/>
      <c r="N35" s="17"/>
      <c r="O35" s="15"/>
      <c r="P35" s="14"/>
      <c r="Q35" s="16"/>
      <c r="R35" s="15"/>
      <c r="S35" s="16"/>
      <c r="T35" s="15"/>
      <c r="U35" s="17"/>
      <c r="V35" s="17"/>
      <c r="W35" s="17"/>
      <c r="X35" s="17"/>
      <c r="Y35" s="17"/>
      <c r="Z35" s="17"/>
      <c r="AA35" s="15"/>
      <c r="AB35" s="14"/>
      <c r="AC35" s="16"/>
      <c r="AD35" s="15"/>
      <c r="AE35" s="16"/>
      <c r="AF35" s="15"/>
      <c r="AG35" s="17"/>
      <c r="AH35" s="17"/>
      <c r="AI35" s="17"/>
      <c r="AJ35" s="17"/>
      <c r="AK35" s="17"/>
      <c r="AL35" s="17"/>
      <c r="AM35" s="15"/>
    </row>
    <row r="36" spans="1:39" ht="17.25" customHeight="1" x14ac:dyDescent="0.2">
      <c r="A36" s="50">
        <v>46055</v>
      </c>
      <c r="B36" s="60" t="s">
        <v>87</v>
      </c>
      <c r="C36" s="22"/>
      <c r="D36" s="4" t="s">
        <v>19</v>
      </c>
      <c r="E36" s="23" t="s">
        <v>20</v>
      </c>
      <c r="F36" s="62" t="s">
        <v>56</v>
      </c>
      <c r="G36" s="24"/>
      <c r="H36" s="35" t="s">
        <v>88</v>
      </c>
      <c r="I36" s="26"/>
      <c r="J36" s="27"/>
      <c r="K36" s="23"/>
      <c r="L36" s="23"/>
      <c r="M36" s="23"/>
      <c r="N36" s="23"/>
      <c r="O36" s="18"/>
      <c r="P36" s="23"/>
      <c r="Q36" s="28"/>
      <c r="R36" s="32" t="s">
        <v>21</v>
      </c>
      <c r="S36" s="37"/>
      <c r="T36" s="36" t="s">
        <v>89</v>
      </c>
      <c r="U36" s="26"/>
      <c r="V36" s="27"/>
      <c r="W36" s="23"/>
      <c r="X36" s="23"/>
      <c r="Y36" s="23"/>
      <c r="Z36" s="23"/>
      <c r="AA36" s="16"/>
      <c r="AB36" s="23" t="s">
        <v>58</v>
      </c>
      <c r="AC36" s="28"/>
      <c r="AD36" s="32" t="s">
        <v>44</v>
      </c>
      <c r="AE36" s="28"/>
      <c r="AF36" s="30" t="s">
        <v>90</v>
      </c>
      <c r="AG36" s="26"/>
      <c r="AH36" s="27"/>
      <c r="AI36" s="23"/>
      <c r="AJ36" s="23"/>
      <c r="AK36" s="23"/>
      <c r="AL36" s="23"/>
      <c r="AM36" s="16"/>
    </row>
    <row r="37" spans="1:39" ht="17.25" customHeight="1" x14ac:dyDescent="0.2">
      <c r="A37" s="50">
        <v>46056</v>
      </c>
      <c r="B37" s="60"/>
      <c r="C37" s="22"/>
      <c r="D37" s="4" t="s">
        <v>27</v>
      </c>
      <c r="E37" s="23" t="s">
        <v>58</v>
      </c>
      <c r="F37" s="32" t="s">
        <v>56</v>
      </c>
      <c r="G37" s="24"/>
      <c r="H37" s="35" t="s">
        <v>91</v>
      </c>
      <c r="I37" s="26"/>
      <c r="J37" s="27"/>
      <c r="K37" s="23"/>
      <c r="L37" s="23"/>
      <c r="M37" s="23"/>
      <c r="N37" s="23"/>
      <c r="O37" s="18"/>
      <c r="P37" s="23" t="s">
        <v>58</v>
      </c>
      <c r="Q37" s="28"/>
      <c r="R37" s="32" t="s">
        <v>39</v>
      </c>
      <c r="S37" s="28"/>
      <c r="T37" s="36" t="s">
        <v>92</v>
      </c>
      <c r="U37" s="26"/>
      <c r="V37" s="27"/>
      <c r="W37" s="23"/>
      <c r="X37" s="23"/>
      <c r="Y37" s="23"/>
      <c r="Z37" s="23"/>
      <c r="AA37" s="16"/>
      <c r="AB37" s="23"/>
      <c r="AC37" s="28"/>
      <c r="AD37" s="32"/>
      <c r="AE37" s="28"/>
      <c r="AF37" s="29"/>
      <c r="AG37" s="26"/>
      <c r="AH37" s="27"/>
      <c r="AI37" s="23"/>
      <c r="AJ37" s="23"/>
      <c r="AK37" s="23"/>
      <c r="AL37" s="23"/>
      <c r="AM37" s="16"/>
    </row>
    <row r="38" spans="1:39" ht="17.25" customHeight="1" x14ac:dyDescent="0.2">
      <c r="A38" s="50">
        <v>46057</v>
      </c>
      <c r="B38" s="60"/>
      <c r="C38" s="22"/>
      <c r="D38" s="4" t="s">
        <v>31</v>
      </c>
      <c r="E38" s="23"/>
      <c r="F38" s="29"/>
      <c r="G38" s="28"/>
      <c r="H38" s="29"/>
      <c r="I38" s="26"/>
      <c r="J38" s="27"/>
      <c r="K38" s="23"/>
      <c r="L38" s="23"/>
      <c r="M38" s="23"/>
      <c r="N38" s="23"/>
      <c r="O38" s="18"/>
      <c r="P38" s="23"/>
      <c r="Q38" s="28"/>
      <c r="R38" s="32"/>
      <c r="S38" s="28"/>
      <c r="T38" s="36"/>
      <c r="U38" s="26"/>
      <c r="V38" s="27"/>
      <c r="W38" s="23"/>
      <c r="X38" s="23"/>
      <c r="Y38" s="23"/>
      <c r="Z38" s="23"/>
      <c r="AA38" s="18"/>
      <c r="AB38" s="23" t="s">
        <v>20</v>
      </c>
      <c r="AC38" s="28"/>
      <c r="AD38" s="32" t="s">
        <v>72</v>
      </c>
      <c r="AE38" s="28"/>
      <c r="AF38" s="29" t="s">
        <v>93</v>
      </c>
      <c r="AG38" s="26"/>
      <c r="AH38" s="27"/>
      <c r="AI38" s="23"/>
      <c r="AJ38" s="23"/>
      <c r="AK38" s="23"/>
      <c r="AL38" s="23"/>
      <c r="AM38" s="16"/>
    </row>
    <row r="39" spans="1:39" ht="17.25" customHeight="1" x14ac:dyDescent="0.2">
      <c r="A39" s="50">
        <v>46058</v>
      </c>
      <c r="B39" s="60"/>
      <c r="C39" s="22">
        <v>6</v>
      </c>
      <c r="D39" s="4" t="s">
        <v>33</v>
      </c>
      <c r="E39" s="23" t="s">
        <v>50</v>
      </c>
      <c r="F39" s="29" t="s">
        <v>44</v>
      </c>
      <c r="G39" s="28"/>
      <c r="H39" s="29" t="s">
        <v>94</v>
      </c>
      <c r="I39" s="26"/>
      <c r="J39" s="27"/>
      <c r="K39" s="23"/>
      <c r="L39" s="23"/>
      <c r="M39" s="23"/>
      <c r="N39" s="23"/>
      <c r="O39" s="16"/>
      <c r="P39" s="23"/>
      <c r="Q39" s="37"/>
      <c r="R39" s="32"/>
      <c r="S39" s="28"/>
      <c r="T39" s="36"/>
      <c r="U39" s="26"/>
      <c r="V39" s="27"/>
      <c r="W39" s="23"/>
      <c r="X39" s="23"/>
      <c r="Y39" s="23"/>
      <c r="Z39" s="23"/>
      <c r="AA39" s="18"/>
      <c r="AB39" s="23" t="s">
        <v>20</v>
      </c>
      <c r="AC39" s="37"/>
      <c r="AD39" s="32" t="s">
        <v>21</v>
      </c>
      <c r="AE39" s="37"/>
      <c r="AF39" s="30" t="s">
        <v>95</v>
      </c>
      <c r="AG39" s="26"/>
      <c r="AH39" s="27"/>
      <c r="AI39" s="23"/>
      <c r="AJ39" s="23"/>
      <c r="AK39" s="23"/>
      <c r="AL39" s="23"/>
      <c r="AM39" s="16"/>
    </row>
    <row r="40" spans="1:39" ht="17.25" customHeight="1" x14ac:dyDescent="0.2">
      <c r="A40" s="50">
        <v>46059</v>
      </c>
      <c r="B40" s="60"/>
      <c r="C40" s="22"/>
      <c r="D40" s="4" t="s">
        <v>35</v>
      </c>
      <c r="E40" s="23"/>
      <c r="F40" s="32"/>
      <c r="G40" s="37"/>
      <c r="H40" s="55"/>
      <c r="I40" s="26"/>
      <c r="J40" s="27"/>
      <c r="K40" s="23"/>
      <c r="L40" s="23"/>
      <c r="M40" s="23"/>
      <c r="N40" s="23"/>
      <c r="O40" s="18"/>
      <c r="P40" s="23" t="s">
        <v>58</v>
      </c>
      <c r="Q40" s="28"/>
      <c r="R40" s="32" t="s">
        <v>44</v>
      </c>
      <c r="S40" s="28"/>
      <c r="T40" s="36" t="s">
        <v>96</v>
      </c>
      <c r="U40" s="26"/>
      <c r="V40" s="27"/>
      <c r="W40" s="23"/>
      <c r="X40" s="23"/>
      <c r="Y40" s="23"/>
      <c r="Z40" s="23"/>
      <c r="AA40" s="16"/>
      <c r="AB40" s="23"/>
      <c r="AC40" s="28"/>
      <c r="AD40" s="32"/>
      <c r="AE40" s="28"/>
      <c r="AF40" s="29"/>
      <c r="AG40" s="26"/>
      <c r="AH40" s="27"/>
      <c r="AI40" s="23"/>
      <c r="AJ40" s="23"/>
      <c r="AK40" s="23"/>
      <c r="AL40" s="23"/>
      <c r="AM40" s="16"/>
    </row>
    <row r="41" spans="1:39" ht="17.25" customHeight="1" x14ac:dyDescent="0.2">
      <c r="A41" s="50">
        <v>46060</v>
      </c>
      <c r="B41" s="60"/>
      <c r="C41" s="22"/>
      <c r="D41" s="4" t="s">
        <v>36</v>
      </c>
      <c r="E41" s="23"/>
      <c r="F41" s="32"/>
      <c r="G41" s="24"/>
      <c r="H41" s="35"/>
      <c r="I41" s="26"/>
      <c r="J41" s="27"/>
      <c r="K41" s="23"/>
      <c r="L41" s="23"/>
      <c r="M41" s="23"/>
      <c r="N41" s="23"/>
      <c r="O41" s="16"/>
      <c r="P41" s="23" t="s">
        <v>58</v>
      </c>
      <c r="Q41" s="28"/>
      <c r="R41" s="32" t="s">
        <v>56</v>
      </c>
      <c r="S41" s="28"/>
      <c r="T41" s="63" t="s">
        <v>97</v>
      </c>
      <c r="U41" s="26"/>
      <c r="V41" s="27"/>
      <c r="W41" s="23"/>
      <c r="X41" s="23"/>
      <c r="Y41" s="23"/>
      <c r="Z41" s="23"/>
      <c r="AA41" s="16"/>
      <c r="AB41" s="23"/>
      <c r="AC41" s="28"/>
      <c r="AD41" s="32"/>
      <c r="AE41" s="28"/>
      <c r="AF41" s="29"/>
      <c r="AG41" s="26"/>
      <c r="AH41" s="27"/>
      <c r="AI41" s="23"/>
      <c r="AJ41" s="23"/>
      <c r="AK41" s="23"/>
      <c r="AL41" s="23"/>
      <c r="AM41" s="16"/>
    </row>
    <row r="42" spans="1:39" ht="17.25" customHeight="1" x14ac:dyDescent="0.2">
      <c r="A42" s="50">
        <v>46061</v>
      </c>
      <c r="B42" s="60"/>
      <c r="C42" s="22"/>
      <c r="D42" s="4" t="s">
        <v>37</v>
      </c>
      <c r="E42" s="23" t="s">
        <v>58</v>
      </c>
      <c r="F42" s="34" t="s">
        <v>28</v>
      </c>
      <c r="G42" s="37"/>
      <c r="H42" s="30" t="s">
        <v>98</v>
      </c>
      <c r="I42" s="26"/>
      <c r="J42" s="27"/>
      <c r="K42" s="23"/>
      <c r="L42" s="23"/>
      <c r="M42" s="23"/>
      <c r="N42" s="23"/>
      <c r="O42" s="16"/>
      <c r="P42" s="23" t="s">
        <v>58</v>
      </c>
      <c r="Q42" s="28"/>
      <c r="R42" s="32" t="s">
        <v>21</v>
      </c>
      <c r="S42" s="28"/>
      <c r="T42" s="63" t="s">
        <v>99</v>
      </c>
      <c r="U42" s="26"/>
      <c r="V42" s="27"/>
      <c r="W42" s="23"/>
      <c r="X42" s="23"/>
      <c r="Y42" s="23"/>
      <c r="Z42" s="23"/>
      <c r="AA42" s="16"/>
      <c r="AB42" s="23"/>
      <c r="AC42" s="28"/>
      <c r="AD42" s="32"/>
      <c r="AE42" s="28"/>
      <c r="AF42" s="29"/>
      <c r="AG42" s="26"/>
      <c r="AH42" s="27"/>
      <c r="AI42" s="23"/>
      <c r="AJ42" s="23"/>
      <c r="AK42" s="23"/>
      <c r="AL42" s="23"/>
      <c r="AM42" s="16"/>
    </row>
    <row r="43" spans="1:39" ht="17.25" customHeight="1" x14ac:dyDescent="0.2">
      <c r="A43" s="48"/>
      <c r="B43" s="60"/>
      <c r="C43" s="4"/>
      <c r="D43" s="4"/>
      <c r="E43" s="14"/>
      <c r="F43" s="15"/>
      <c r="G43" s="16"/>
      <c r="H43" s="15"/>
      <c r="I43" s="17"/>
      <c r="J43" s="17"/>
      <c r="K43" s="17"/>
      <c r="L43" s="17"/>
      <c r="M43" s="17"/>
      <c r="N43" s="17"/>
      <c r="O43" s="15"/>
      <c r="P43" s="14"/>
      <c r="Q43" s="16"/>
      <c r="R43" s="15"/>
      <c r="S43" s="16"/>
      <c r="T43" s="15"/>
      <c r="U43" s="17"/>
      <c r="V43" s="17"/>
      <c r="W43" s="17"/>
      <c r="X43" s="17"/>
      <c r="Y43" s="17"/>
      <c r="Z43" s="17"/>
      <c r="AA43" s="15"/>
      <c r="AB43" s="14"/>
      <c r="AC43" s="16"/>
      <c r="AD43" s="15"/>
      <c r="AE43" s="16"/>
      <c r="AF43" s="15"/>
      <c r="AG43" s="17"/>
      <c r="AH43" s="17"/>
      <c r="AI43" s="17"/>
      <c r="AJ43" s="17"/>
      <c r="AK43" s="17"/>
      <c r="AL43" s="17"/>
      <c r="AM43" s="15"/>
    </row>
    <row r="44" spans="1:39" ht="18.75" customHeight="1" x14ac:dyDescent="0.2">
      <c r="A44" s="50">
        <v>46062</v>
      </c>
      <c r="B44" s="64"/>
      <c r="C44" s="22"/>
      <c r="D44" s="4" t="s">
        <v>19</v>
      </c>
      <c r="E44" s="23"/>
      <c r="F44" s="24"/>
      <c r="G44" s="24"/>
      <c r="H44" s="30"/>
      <c r="I44" s="26"/>
      <c r="J44" s="27"/>
      <c r="K44" s="23"/>
      <c r="L44" s="23"/>
      <c r="M44" s="23"/>
      <c r="N44" s="23"/>
      <c r="O44" s="18"/>
      <c r="P44" s="23"/>
      <c r="Q44" s="28"/>
      <c r="R44" s="32"/>
      <c r="S44" s="28"/>
      <c r="T44" s="65"/>
      <c r="U44" s="26"/>
      <c r="V44" s="27"/>
      <c r="W44" s="23"/>
      <c r="X44" s="23"/>
      <c r="Y44" s="23"/>
      <c r="Z44" s="23"/>
      <c r="AA44" s="18"/>
      <c r="AB44" s="23" t="s">
        <v>58</v>
      </c>
      <c r="AC44" s="28"/>
      <c r="AD44" s="32" t="s">
        <v>75</v>
      </c>
      <c r="AE44" s="28"/>
      <c r="AF44" s="45" t="s">
        <v>100</v>
      </c>
      <c r="AG44" s="26"/>
      <c r="AH44" s="27"/>
      <c r="AI44" s="23"/>
      <c r="AJ44" s="23"/>
      <c r="AK44" s="23"/>
      <c r="AL44" s="23"/>
      <c r="AM44" s="16"/>
    </row>
    <row r="45" spans="1:39" ht="17.25" customHeight="1" x14ac:dyDescent="0.2">
      <c r="A45" s="50">
        <v>46063</v>
      </c>
      <c r="B45" s="60"/>
      <c r="C45" s="22"/>
      <c r="D45" s="4" t="s">
        <v>27</v>
      </c>
      <c r="E45" s="23" t="s">
        <v>20</v>
      </c>
      <c r="F45" s="32" t="s">
        <v>42</v>
      </c>
      <c r="G45" s="37"/>
      <c r="H45" s="30" t="s">
        <v>101</v>
      </c>
      <c r="I45" s="26"/>
      <c r="J45" s="27"/>
      <c r="K45" s="23"/>
      <c r="L45" s="23"/>
      <c r="M45" s="23"/>
      <c r="N45" s="23"/>
      <c r="O45" s="16"/>
      <c r="P45" s="23"/>
      <c r="Q45" s="37"/>
      <c r="R45" s="32"/>
      <c r="S45" s="28"/>
      <c r="T45" s="65"/>
      <c r="U45" s="26"/>
      <c r="V45" s="27"/>
      <c r="W45" s="23"/>
      <c r="X45" s="23"/>
      <c r="Y45" s="23"/>
      <c r="Z45" s="23"/>
      <c r="AA45" s="16"/>
      <c r="AB45" s="23" t="s">
        <v>23</v>
      </c>
      <c r="AC45" s="37"/>
      <c r="AD45" s="32" t="s">
        <v>42</v>
      </c>
      <c r="AE45" s="28"/>
      <c r="AF45" s="66" t="s">
        <v>102</v>
      </c>
      <c r="AG45" s="26"/>
      <c r="AH45" s="27"/>
      <c r="AI45" s="23"/>
      <c r="AJ45" s="23"/>
      <c r="AK45" s="23"/>
      <c r="AL45" s="23"/>
      <c r="AM45" s="16"/>
    </row>
    <row r="46" spans="1:39" ht="17.25" customHeight="1" x14ac:dyDescent="0.2">
      <c r="A46" s="50">
        <v>46064</v>
      </c>
      <c r="B46" s="60"/>
      <c r="C46" s="22"/>
      <c r="D46" s="4" t="s">
        <v>31</v>
      </c>
      <c r="E46" s="23"/>
      <c r="F46" s="24"/>
      <c r="G46" s="24"/>
      <c r="H46" s="35"/>
      <c r="I46" s="26"/>
      <c r="J46" s="27"/>
      <c r="K46" s="23"/>
      <c r="L46" s="23"/>
      <c r="M46" s="23"/>
      <c r="N46" s="23"/>
      <c r="O46" s="18"/>
      <c r="P46" s="23"/>
      <c r="Q46" s="37"/>
      <c r="R46" s="32"/>
      <c r="S46" s="28"/>
      <c r="T46" s="65"/>
      <c r="U46" s="26"/>
      <c r="V46" s="27"/>
      <c r="W46" s="23"/>
      <c r="X46" s="23"/>
      <c r="Y46" s="23"/>
      <c r="Z46" s="23"/>
      <c r="AA46" s="18"/>
      <c r="AB46" s="23"/>
      <c r="AC46" s="37"/>
      <c r="AD46" s="32"/>
      <c r="AE46" s="58"/>
      <c r="AF46" s="59"/>
      <c r="AG46" s="26"/>
      <c r="AH46" s="27"/>
      <c r="AI46" s="23"/>
      <c r="AJ46" s="23"/>
      <c r="AK46" s="23"/>
      <c r="AL46" s="23"/>
      <c r="AM46" s="16"/>
    </row>
    <row r="47" spans="1:39" ht="17.25" customHeight="1" x14ac:dyDescent="0.2">
      <c r="A47" s="50">
        <v>46065</v>
      </c>
      <c r="B47" s="60"/>
      <c r="C47" s="22">
        <v>7</v>
      </c>
      <c r="D47" s="4" t="s">
        <v>33</v>
      </c>
      <c r="E47" s="23" t="s">
        <v>50</v>
      </c>
      <c r="F47" s="29" t="s">
        <v>44</v>
      </c>
      <c r="G47" s="37"/>
      <c r="H47" s="30" t="s">
        <v>104</v>
      </c>
      <c r="I47" s="26"/>
      <c r="J47" s="27"/>
      <c r="K47" s="23"/>
      <c r="L47" s="23"/>
      <c r="M47" s="23"/>
      <c r="N47" s="23"/>
      <c r="O47" s="16"/>
      <c r="P47" s="23"/>
      <c r="Q47" s="37"/>
      <c r="R47" s="32"/>
      <c r="S47" s="28"/>
      <c r="T47" s="32"/>
      <c r="U47" s="26"/>
      <c r="V47" s="27"/>
      <c r="W47" s="23"/>
      <c r="X47" s="23"/>
      <c r="Y47" s="23"/>
      <c r="Z47" s="23"/>
      <c r="AA47" s="16"/>
      <c r="AB47" s="23" t="s">
        <v>20</v>
      </c>
      <c r="AC47" s="37"/>
      <c r="AD47" s="32" t="s">
        <v>72</v>
      </c>
      <c r="AE47" s="28"/>
      <c r="AF47" s="68" t="s">
        <v>105</v>
      </c>
      <c r="AG47" s="26"/>
      <c r="AH47" s="27"/>
      <c r="AI47" s="23"/>
      <c r="AJ47" s="23"/>
      <c r="AK47" s="23"/>
      <c r="AL47" s="23"/>
      <c r="AM47" s="16"/>
    </row>
    <row r="48" spans="1:39" ht="17.25" customHeight="1" x14ac:dyDescent="0.2">
      <c r="A48" s="50">
        <v>46066</v>
      </c>
      <c r="B48" s="60"/>
      <c r="C48" s="22"/>
      <c r="D48" s="4" t="s">
        <v>35</v>
      </c>
      <c r="E48" s="23" t="s">
        <v>50</v>
      </c>
      <c r="F48" s="24" t="s">
        <v>44</v>
      </c>
      <c r="G48" s="24"/>
      <c r="H48" s="35" t="s">
        <v>106</v>
      </c>
      <c r="I48" s="26"/>
      <c r="J48" s="27"/>
      <c r="K48" s="23"/>
      <c r="L48" s="23"/>
      <c r="M48" s="23"/>
      <c r="N48" s="23"/>
      <c r="O48" s="16"/>
      <c r="P48" s="23"/>
      <c r="Q48" s="37"/>
      <c r="R48" s="29"/>
      <c r="S48" s="28"/>
      <c r="T48" s="36"/>
      <c r="U48" s="26"/>
      <c r="V48" s="27"/>
      <c r="W48" s="23"/>
      <c r="X48" s="23"/>
      <c r="Y48" s="23"/>
      <c r="Z48" s="23"/>
      <c r="AA48" s="16"/>
      <c r="AB48" s="23"/>
      <c r="AC48" s="37"/>
      <c r="AD48" s="32"/>
      <c r="AE48" s="28"/>
      <c r="AF48" s="68"/>
      <c r="AG48" s="26"/>
      <c r="AH48" s="27"/>
      <c r="AI48" s="23"/>
      <c r="AJ48" s="23"/>
      <c r="AK48" s="23"/>
      <c r="AL48" s="23"/>
      <c r="AM48" s="16"/>
    </row>
    <row r="49" spans="1:39" ht="17.25" customHeight="1" x14ac:dyDescent="0.2">
      <c r="A49" s="50">
        <v>46067</v>
      </c>
      <c r="B49" s="60"/>
      <c r="C49" s="22"/>
      <c r="D49" s="4" t="s">
        <v>36</v>
      </c>
      <c r="E49" s="23"/>
      <c r="F49" s="32"/>
      <c r="G49" s="28"/>
      <c r="H49" s="45"/>
      <c r="I49" s="26"/>
      <c r="J49" s="27"/>
      <c r="K49" s="23"/>
      <c r="L49" s="23"/>
      <c r="M49" s="23"/>
      <c r="N49" s="23"/>
      <c r="O49" s="16"/>
      <c r="P49" s="23"/>
      <c r="Q49" s="28"/>
      <c r="R49" s="32"/>
      <c r="S49" s="28"/>
      <c r="T49" s="30"/>
      <c r="U49" s="26"/>
      <c r="V49" s="27"/>
      <c r="W49" s="23"/>
      <c r="X49" s="23"/>
      <c r="Y49" s="23"/>
      <c r="Z49" s="23"/>
      <c r="AA49" s="16"/>
      <c r="AB49" s="23"/>
      <c r="AC49" s="28"/>
      <c r="AD49" s="32"/>
      <c r="AE49" s="28"/>
      <c r="AF49" s="29"/>
      <c r="AG49" s="26"/>
      <c r="AH49" s="27"/>
      <c r="AI49" s="23"/>
      <c r="AJ49" s="23"/>
      <c r="AK49" s="23"/>
      <c r="AL49" s="23"/>
      <c r="AM49" s="16"/>
    </row>
    <row r="50" spans="1:39" ht="17.25" customHeight="1" x14ac:dyDescent="0.2">
      <c r="A50" s="50">
        <v>46068</v>
      </c>
      <c r="B50" s="60"/>
      <c r="C50" s="22"/>
      <c r="D50" s="4" t="s">
        <v>37</v>
      </c>
      <c r="E50" s="23"/>
      <c r="F50" s="32"/>
      <c r="G50" s="37"/>
      <c r="H50" s="69"/>
      <c r="I50" s="26"/>
      <c r="J50" s="27"/>
      <c r="K50" s="23"/>
      <c r="L50" s="23"/>
      <c r="M50" s="23"/>
      <c r="N50" s="23"/>
      <c r="O50" s="16"/>
      <c r="P50" s="23"/>
      <c r="Q50" s="28"/>
      <c r="R50" s="32"/>
      <c r="S50" s="28"/>
      <c r="T50" s="36"/>
      <c r="U50" s="26"/>
      <c r="V50" s="27"/>
      <c r="W50" s="23"/>
      <c r="X50" s="23"/>
      <c r="Y50" s="23"/>
      <c r="Z50" s="23"/>
      <c r="AA50" s="16"/>
      <c r="AB50" s="23"/>
      <c r="AC50" s="28"/>
      <c r="AD50" s="32"/>
      <c r="AE50" s="28"/>
      <c r="AF50" s="29"/>
      <c r="AG50" s="26"/>
      <c r="AH50" s="27"/>
      <c r="AI50" s="23"/>
      <c r="AJ50" s="23"/>
      <c r="AK50" s="23"/>
      <c r="AL50" s="23"/>
      <c r="AM50" s="16"/>
    </row>
    <row r="51" spans="1:39" ht="17.25" customHeight="1" x14ac:dyDescent="0.2">
      <c r="A51" s="48"/>
      <c r="B51" s="60"/>
      <c r="C51" s="4"/>
      <c r="D51" s="4"/>
      <c r="E51" s="14"/>
      <c r="F51" s="15"/>
      <c r="G51" s="16"/>
      <c r="H51" s="15"/>
      <c r="I51" s="17"/>
      <c r="J51" s="17"/>
      <c r="K51" s="17"/>
      <c r="L51" s="17"/>
      <c r="M51" s="17"/>
      <c r="N51" s="17"/>
      <c r="O51" s="15"/>
      <c r="P51" s="14"/>
      <c r="Q51" s="16"/>
      <c r="R51" s="15"/>
      <c r="S51" s="16"/>
      <c r="T51" s="15"/>
      <c r="U51" s="17"/>
      <c r="V51" s="17"/>
      <c r="W51" s="17"/>
      <c r="X51" s="17"/>
      <c r="Y51" s="17"/>
      <c r="Z51" s="17"/>
      <c r="AA51" s="15"/>
      <c r="AB51" s="14"/>
      <c r="AC51" s="16"/>
      <c r="AD51" s="15"/>
      <c r="AE51" s="16"/>
      <c r="AF51" s="15"/>
      <c r="AG51" s="17"/>
      <c r="AH51" s="17"/>
      <c r="AI51" s="17"/>
      <c r="AJ51" s="17"/>
      <c r="AK51" s="17"/>
      <c r="AL51" s="17"/>
      <c r="AM51" s="15"/>
    </row>
    <row r="52" spans="1:39" ht="17.25" customHeight="1" x14ac:dyDescent="0.2">
      <c r="A52" s="50">
        <v>46069</v>
      </c>
      <c r="B52" s="60"/>
      <c r="C52" s="22"/>
      <c r="D52" s="4" t="s">
        <v>19</v>
      </c>
      <c r="E52" s="23"/>
      <c r="F52" s="29"/>
      <c r="G52" s="28"/>
      <c r="H52" s="29"/>
      <c r="I52" s="26"/>
      <c r="J52" s="23"/>
      <c r="K52" s="23"/>
      <c r="L52" s="23"/>
      <c r="M52" s="23"/>
      <c r="N52" s="23"/>
      <c r="O52" s="16"/>
      <c r="P52" s="23" t="s">
        <v>20</v>
      </c>
      <c r="Q52" s="28"/>
      <c r="R52" s="32" t="s">
        <v>44</v>
      </c>
      <c r="S52" s="38"/>
      <c r="T52" s="36" t="s">
        <v>107</v>
      </c>
      <c r="U52" s="26"/>
      <c r="V52" s="23"/>
      <c r="W52" s="23"/>
      <c r="X52" s="23"/>
      <c r="Y52" s="23"/>
      <c r="Z52" s="23"/>
      <c r="AA52" s="16"/>
      <c r="AB52" s="23"/>
      <c r="AC52" s="28"/>
      <c r="AD52" s="32"/>
      <c r="AE52" s="28"/>
      <c r="AF52" s="29"/>
      <c r="AG52" s="26"/>
      <c r="AH52" s="23"/>
      <c r="AI52" s="23"/>
      <c r="AJ52" s="23"/>
      <c r="AK52" s="23"/>
      <c r="AL52" s="23"/>
      <c r="AM52" s="16"/>
    </row>
    <row r="53" spans="1:39" ht="17.25" customHeight="1" x14ac:dyDescent="0.2">
      <c r="A53" s="50">
        <v>46070</v>
      </c>
      <c r="B53" s="70" t="s">
        <v>108</v>
      </c>
      <c r="C53" s="22"/>
      <c r="D53" s="4" t="s">
        <v>27</v>
      </c>
      <c r="E53" s="23" t="s">
        <v>23</v>
      </c>
      <c r="F53" s="32" t="s">
        <v>21</v>
      </c>
      <c r="G53" s="28"/>
      <c r="H53" s="66" t="s">
        <v>109</v>
      </c>
      <c r="I53" s="26"/>
      <c r="J53" s="23"/>
      <c r="K53" s="23"/>
      <c r="L53" s="23"/>
      <c r="M53" s="23"/>
      <c r="N53" s="23"/>
      <c r="O53" s="16"/>
      <c r="P53" s="23"/>
      <c r="Q53" s="37"/>
      <c r="R53" s="32"/>
      <c r="S53" s="28"/>
      <c r="T53" s="32"/>
      <c r="U53" s="26"/>
      <c r="V53" s="23"/>
      <c r="W53" s="23"/>
      <c r="X53" s="23"/>
      <c r="Y53" s="23"/>
      <c r="Z53" s="23"/>
      <c r="AA53" s="16"/>
      <c r="AB53" s="23"/>
      <c r="AC53" s="37"/>
      <c r="AD53" s="32"/>
      <c r="AE53" s="28"/>
      <c r="AF53" s="68"/>
      <c r="AG53" s="26"/>
      <c r="AH53" s="23"/>
      <c r="AI53" s="23"/>
      <c r="AJ53" s="23"/>
      <c r="AK53" s="23"/>
      <c r="AL53" s="23"/>
      <c r="AM53" s="16"/>
    </row>
    <row r="54" spans="1:39" ht="17.25" customHeight="1" x14ac:dyDescent="0.2">
      <c r="A54" s="50">
        <v>46071</v>
      </c>
      <c r="B54" s="60"/>
      <c r="C54" s="22"/>
      <c r="D54" s="4" t="s">
        <v>31</v>
      </c>
      <c r="E54" s="23"/>
      <c r="F54" s="32"/>
      <c r="G54" s="28"/>
      <c r="H54" s="29"/>
      <c r="I54" s="26"/>
      <c r="J54" s="23"/>
      <c r="K54" s="23"/>
      <c r="L54" s="23"/>
      <c r="M54" s="23"/>
      <c r="N54" s="23"/>
      <c r="O54" s="16"/>
      <c r="P54" s="23"/>
      <c r="Q54" s="28"/>
      <c r="R54" s="32"/>
      <c r="S54" s="28"/>
      <c r="T54" s="30"/>
      <c r="U54" s="26"/>
      <c r="V54" s="23"/>
      <c r="W54" s="23"/>
      <c r="X54" s="23"/>
      <c r="Y54" s="23"/>
      <c r="Z54" s="23"/>
      <c r="AA54" s="16"/>
      <c r="AB54" s="23"/>
      <c r="AC54" s="28"/>
      <c r="AD54" s="32"/>
      <c r="AE54" s="37"/>
      <c r="AF54" s="29"/>
      <c r="AG54" s="26"/>
      <c r="AH54" s="23"/>
      <c r="AI54" s="23"/>
      <c r="AJ54" s="23"/>
      <c r="AK54" s="23"/>
      <c r="AL54" s="23"/>
      <c r="AM54" s="16"/>
    </row>
    <row r="55" spans="1:39" ht="17.25" customHeight="1" x14ac:dyDescent="0.2">
      <c r="A55" s="50">
        <v>46072</v>
      </c>
      <c r="B55" s="60"/>
      <c r="C55" s="22">
        <v>8</v>
      </c>
      <c r="D55" s="4" t="s">
        <v>33</v>
      </c>
      <c r="E55" s="23" t="s">
        <v>50</v>
      </c>
      <c r="F55" s="29" t="s">
        <v>44</v>
      </c>
      <c r="G55" s="28"/>
      <c r="H55" s="30" t="s">
        <v>110</v>
      </c>
      <c r="I55" s="26"/>
      <c r="J55" s="23"/>
      <c r="K55" s="23"/>
      <c r="L55" s="23"/>
      <c r="M55" s="23"/>
      <c r="N55" s="23"/>
      <c r="O55" s="16"/>
      <c r="P55" s="23"/>
      <c r="Q55" s="28"/>
      <c r="R55" s="32"/>
      <c r="S55" s="29"/>
      <c r="T55" s="56"/>
      <c r="U55" s="26"/>
      <c r="V55" s="23"/>
      <c r="W55" s="23"/>
      <c r="X55" s="23"/>
      <c r="Y55" s="23"/>
      <c r="Z55" s="23"/>
      <c r="AA55" s="16"/>
      <c r="AB55" s="23"/>
      <c r="AC55" s="28"/>
      <c r="AD55" s="32"/>
      <c r="AE55" s="58"/>
      <c r="AF55" s="59"/>
      <c r="AG55" s="26"/>
      <c r="AH55" s="23"/>
      <c r="AI55" s="23"/>
      <c r="AJ55" s="23"/>
      <c r="AK55" s="23"/>
      <c r="AL55" s="23"/>
      <c r="AM55" s="16"/>
    </row>
    <row r="56" spans="1:39" ht="17.25" customHeight="1" x14ac:dyDescent="0.2">
      <c r="A56" s="50">
        <v>46073</v>
      </c>
      <c r="B56" s="60"/>
      <c r="C56" s="22"/>
      <c r="D56" s="4" t="s">
        <v>35</v>
      </c>
      <c r="E56" s="23" t="s">
        <v>58</v>
      </c>
      <c r="F56" s="71" t="s">
        <v>21</v>
      </c>
      <c r="G56" s="24"/>
      <c r="H56" s="35" t="s">
        <v>111</v>
      </c>
      <c r="I56" s="26"/>
      <c r="J56" s="23"/>
      <c r="K56" s="23"/>
      <c r="L56" s="23"/>
      <c r="M56" s="23"/>
      <c r="N56" s="23"/>
      <c r="O56" s="16"/>
      <c r="P56" s="23"/>
      <c r="Q56" s="28"/>
      <c r="R56" s="32"/>
      <c r="S56" s="37"/>
      <c r="T56" s="36"/>
      <c r="U56" s="26"/>
      <c r="V56" s="23"/>
      <c r="W56" s="23"/>
      <c r="X56" s="23"/>
      <c r="Y56" s="23"/>
      <c r="Z56" s="23"/>
      <c r="AA56" s="16"/>
      <c r="AB56" s="23"/>
      <c r="AC56" s="28"/>
      <c r="AD56" s="32"/>
      <c r="AE56" s="28"/>
      <c r="AF56" s="29"/>
      <c r="AG56" s="26"/>
      <c r="AH56" s="23"/>
      <c r="AI56" s="23"/>
      <c r="AJ56" s="23"/>
      <c r="AK56" s="23"/>
      <c r="AL56" s="23"/>
      <c r="AM56" s="16"/>
    </row>
    <row r="57" spans="1:39" ht="17.25" customHeight="1" x14ac:dyDescent="0.2">
      <c r="A57" s="50">
        <v>46074</v>
      </c>
      <c r="B57" s="60"/>
      <c r="C57" s="22"/>
      <c r="D57" s="4" t="s">
        <v>36</v>
      </c>
      <c r="E57" s="23" t="s">
        <v>50</v>
      </c>
      <c r="F57" s="32" t="s">
        <v>44</v>
      </c>
      <c r="G57" s="37"/>
      <c r="H57" s="72" t="s">
        <v>112</v>
      </c>
      <c r="I57" s="26"/>
      <c r="J57" s="23"/>
      <c r="K57" s="23"/>
      <c r="L57" s="23"/>
      <c r="M57" s="23"/>
      <c r="N57" s="23"/>
      <c r="O57" s="16"/>
      <c r="P57" s="23" t="s">
        <v>58</v>
      </c>
      <c r="Q57" s="28"/>
      <c r="R57" s="32" t="s">
        <v>56</v>
      </c>
      <c r="S57" s="28"/>
      <c r="T57" s="36" t="s">
        <v>113</v>
      </c>
      <c r="U57" s="26"/>
      <c r="V57" s="23"/>
      <c r="W57" s="23"/>
      <c r="X57" s="23"/>
      <c r="Y57" s="23"/>
      <c r="Z57" s="23"/>
      <c r="AA57" s="16"/>
      <c r="AB57" s="23"/>
      <c r="AC57" s="28"/>
      <c r="AD57" s="32"/>
      <c r="AE57" s="28"/>
      <c r="AF57" s="29"/>
      <c r="AG57" s="26"/>
      <c r="AH57" s="23"/>
      <c r="AI57" s="23"/>
      <c r="AJ57" s="23"/>
      <c r="AK57" s="23"/>
      <c r="AL57" s="23"/>
      <c r="AM57" s="16"/>
    </row>
    <row r="58" spans="1:39" ht="17.25" customHeight="1" x14ac:dyDescent="0.2">
      <c r="A58" s="50">
        <v>46075</v>
      </c>
      <c r="B58" s="60"/>
      <c r="C58" s="22"/>
      <c r="D58" s="4" t="s">
        <v>37</v>
      </c>
      <c r="E58" s="23" t="s">
        <v>23</v>
      </c>
      <c r="F58" s="32" t="s">
        <v>28</v>
      </c>
      <c r="G58" s="24"/>
      <c r="H58" s="35" t="s">
        <v>103</v>
      </c>
      <c r="I58" s="26"/>
      <c r="J58" s="23"/>
      <c r="K58" s="23"/>
      <c r="L58" s="23"/>
      <c r="M58" s="23"/>
      <c r="N58" s="23"/>
      <c r="O58" s="16"/>
      <c r="P58" s="23" t="s">
        <v>58</v>
      </c>
      <c r="Q58" s="28"/>
      <c r="R58" s="32" t="s">
        <v>56</v>
      </c>
      <c r="S58" s="28"/>
      <c r="T58" s="30" t="s">
        <v>114</v>
      </c>
      <c r="U58" s="26"/>
      <c r="V58" s="23"/>
      <c r="W58" s="23"/>
      <c r="X58" s="23"/>
      <c r="Y58" s="23"/>
      <c r="Z58" s="23"/>
      <c r="AA58" s="16"/>
      <c r="AB58" s="23"/>
      <c r="AC58" s="28"/>
      <c r="AD58" s="32"/>
      <c r="AE58" s="28"/>
      <c r="AF58" s="29"/>
      <c r="AG58" s="26"/>
      <c r="AH58" s="23"/>
      <c r="AI58" s="23"/>
      <c r="AJ58" s="23"/>
      <c r="AK58" s="23"/>
      <c r="AL58" s="23"/>
      <c r="AM58" s="16"/>
    </row>
    <row r="59" spans="1:39" ht="17.25" customHeight="1" x14ac:dyDescent="0.2">
      <c r="A59" s="48"/>
      <c r="B59" s="60"/>
      <c r="C59" s="4"/>
      <c r="D59" s="4"/>
      <c r="E59" s="14"/>
      <c r="F59" s="15"/>
      <c r="G59" s="16"/>
      <c r="H59" s="15"/>
      <c r="I59" s="17"/>
      <c r="J59" s="17"/>
      <c r="K59" s="17"/>
      <c r="L59" s="17"/>
      <c r="M59" s="17"/>
      <c r="N59" s="17"/>
      <c r="O59" s="15"/>
      <c r="P59" s="14"/>
      <c r="Q59" s="16"/>
      <c r="R59" s="15"/>
      <c r="S59" s="16"/>
      <c r="T59" s="15"/>
      <c r="U59" s="17"/>
      <c r="V59" s="17"/>
      <c r="W59" s="17"/>
      <c r="X59" s="17"/>
      <c r="Y59" s="17"/>
      <c r="Z59" s="17"/>
      <c r="AA59" s="15"/>
      <c r="AB59" s="14"/>
      <c r="AC59" s="16"/>
      <c r="AD59" s="15"/>
      <c r="AE59" s="16"/>
      <c r="AF59" s="15"/>
      <c r="AG59" s="17"/>
      <c r="AH59" s="17"/>
      <c r="AI59" s="17"/>
      <c r="AJ59" s="17"/>
      <c r="AK59" s="17"/>
      <c r="AL59" s="17"/>
      <c r="AM59" s="15"/>
    </row>
    <row r="60" spans="1:39" ht="17.25" customHeight="1" x14ac:dyDescent="0.2">
      <c r="A60" s="50">
        <v>46076</v>
      </c>
      <c r="B60" s="60" t="s">
        <v>115</v>
      </c>
      <c r="C60" s="22"/>
      <c r="D60" s="4" t="s">
        <v>19</v>
      </c>
      <c r="E60" s="23"/>
      <c r="F60" s="32"/>
      <c r="G60" s="28"/>
      <c r="H60" s="45"/>
      <c r="I60" s="26"/>
      <c r="J60" s="23"/>
      <c r="K60" s="23"/>
      <c r="L60" s="23"/>
      <c r="M60" s="23"/>
      <c r="N60" s="23"/>
      <c r="O60" s="16"/>
      <c r="P60" s="23"/>
      <c r="Q60" s="37"/>
      <c r="R60" s="32"/>
      <c r="S60" s="28"/>
      <c r="T60" s="36"/>
      <c r="U60" s="26"/>
      <c r="V60" s="23"/>
      <c r="W60" s="23"/>
      <c r="X60" s="23"/>
      <c r="Y60" s="23"/>
      <c r="Z60" s="23"/>
      <c r="AA60" s="16"/>
      <c r="AB60" s="23"/>
      <c r="AC60" s="37"/>
      <c r="AD60" s="32"/>
      <c r="AE60" s="28"/>
      <c r="AF60" s="67"/>
      <c r="AG60" s="26"/>
      <c r="AH60" s="23"/>
      <c r="AI60" s="23"/>
      <c r="AJ60" s="23"/>
      <c r="AK60" s="23"/>
      <c r="AL60" s="23"/>
      <c r="AM60" s="16"/>
    </row>
    <row r="61" spans="1:39" ht="17.25" customHeight="1" x14ac:dyDescent="0.2">
      <c r="A61" s="50">
        <v>46077</v>
      </c>
      <c r="B61" s="60" t="s">
        <v>116</v>
      </c>
      <c r="C61" s="22"/>
      <c r="D61" s="4" t="s">
        <v>27</v>
      </c>
      <c r="E61" s="23"/>
      <c r="F61" s="32"/>
      <c r="G61" s="28"/>
      <c r="H61" s="66"/>
      <c r="I61" s="26"/>
      <c r="J61" s="23"/>
      <c r="K61" s="23"/>
      <c r="L61" s="23"/>
      <c r="M61" s="23"/>
      <c r="N61" s="23"/>
      <c r="O61" s="16"/>
      <c r="P61" s="23"/>
      <c r="Q61" s="28"/>
      <c r="R61" s="32"/>
      <c r="S61" s="28"/>
      <c r="T61" s="36"/>
      <c r="U61" s="26"/>
      <c r="V61" s="23"/>
      <c r="W61" s="23"/>
      <c r="X61" s="23"/>
      <c r="Y61" s="23"/>
      <c r="Z61" s="23"/>
      <c r="AA61" s="16"/>
      <c r="AB61" s="23"/>
      <c r="AC61" s="28"/>
      <c r="AD61" s="32"/>
      <c r="AE61" s="28"/>
      <c r="AF61" s="30"/>
      <c r="AG61" s="26"/>
      <c r="AH61" s="23"/>
      <c r="AI61" s="23"/>
      <c r="AJ61" s="23"/>
      <c r="AK61" s="23"/>
      <c r="AL61" s="23"/>
      <c r="AM61" s="16"/>
    </row>
    <row r="62" spans="1:39" ht="17.25" customHeight="1" x14ac:dyDescent="0.2">
      <c r="A62" s="50">
        <v>46078</v>
      </c>
      <c r="B62" s="60"/>
      <c r="C62" s="22"/>
      <c r="D62" s="4" t="s">
        <v>31</v>
      </c>
      <c r="E62" s="23" t="s">
        <v>23</v>
      </c>
      <c r="F62" s="32" t="s">
        <v>28</v>
      </c>
      <c r="G62" s="28"/>
      <c r="H62" s="73" t="s">
        <v>117</v>
      </c>
      <c r="I62" s="26"/>
      <c r="J62" s="23"/>
      <c r="K62" s="23"/>
      <c r="L62" s="23"/>
      <c r="M62" s="23"/>
      <c r="N62" s="23"/>
      <c r="O62" s="16"/>
      <c r="P62" s="23" t="s">
        <v>23</v>
      </c>
      <c r="Q62" s="28"/>
      <c r="R62" s="32" t="s">
        <v>44</v>
      </c>
      <c r="S62" s="28"/>
      <c r="T62" s="30" t="s">
        <v>118</v>
      </c>
      <c r="U62" s="26"/>
      <c r="V62" s="23"/>
      <c r="W62" s="23"/>
      <c r="X62" s="23"/>
      <c r="Y62" s="23"/>
      <c r="Z62" s="23"/>
      <c r="AA62" s="16"/>
      <c r="AB62" s="23"/>
      <c r="AC62" s="28"/>
      <c r="AD62" s="32"/>
      <c r="AE62" s="58"/>
      <c r="AF62" s="59"/>
      <c r="AG62" s="26"/>
      <c r="AH62" s="23"/>
      <c r="AI62" s="23"/>
      <c r="AJ62" s="23"/>
      <c r="AK62" s="23"/>
      <c r="AL62" s="23"/>
      <c r="AM62" s="16"/>
    </row>
    <row r="63" spans="1:39" ht="17.25" customHeight="1" x14ac:dyDescent="0.2">
      <c r="A63" s="50">
        <v>46079</v>
      </c>
      <c r="B63" s="60"/>
      <c r="C63" s="22">
        <v>9</v>
      </c>
      <c r="D63" s="4" t="s">
        <v>33</v>
      </c>
      <c r="E63" s="23" t="s">
        <v>50</v>
      </c>
      <c r="F63" s="29" t="s">
        <v>44</v>
      </c>
      <c r="G63" s="28"/>
      <c r="H63" s="30" t="s">
        <v>119</v>
      </c>
      <c r="I63" s="26"/>
      <c r="J63" s="23"/>
      <c r="K63" s="23"/>
      <c r="L63" s="23"/>
      <c r="M63" s="23"/>
      <c r="N63" s="23"/>
      <c r="O63" s="16"/>
      <c r="P63" s="23"/>
      <c r="Q63" s="28"/>
      <c r="R63" s="32"/>
      <c r="S63" s="28"/>
      <c r="T63" s="36"/>
      <c r="U63" s="26"/>
      <c r="V63" s="23"/>
      <c r="W63" s="23"/>
      <c r="X63" s="23"/>
      <c r="Y63" s="23"/>
      <c r="Z63" s="23"/>
      <c r="AA63" s="16"/>
      <c r="AB63" s="23"/>
      <c r="AC63" s="28"/>
      <c r="AD63" s="32"/>
      <c r="AE63" s="37"/>
      <c r="AF63" s="29"/>
      <c r="AG63" s="26"/>
      <c r="AH63" s="23"/>
      <c r="AI63" s="23"/>
      <c r="AJ63" s="23"/>
      <c r="AK63" s="23"/>
      <c r="AL63" s="23"/>
      <c r="AM63" s="16"/>
    </row>
    <row r="64" spans="1:39" ht="17.25" customHeight="1" x14ac:dyDescent="0.2">
      <c r="A64" s="50">
        <v>46080</v>
      </c>
      <c r="B64" s="60"/>
      <c r="C64" s="22"/>
      <c r="D64" s="4" t="s">
        <v>35</v>
      </c>
      <c r="E64" s="23" t="s">
        <v>20</v>
      </c>
      <c r="F64" s="32" t="s">
        <v>39</v>
      </c>
      <c r="G64" s="37"/>
      <c r="H64" s="30" t="s">
        <v>120</v>
      </c>
      <c r="I64" s="26"/>
      <c r="J64" s="23"/>
      <c r="K64" s="23"/>
      <c r="L64" s="23"/>
      <c r="M64" s="23"/>
      <c r="N64" s="23"/>
      <c r="O64" s="16"/>
      <c r="P64" s="23"/>
      <c r="Q64" s="28"/>
      <c r="R64" s="32"/>
      <c r="S64" s="28"/>
      <c r="T64" s="36"/>
      <c r="U64" s="26"/>
      <c r="V64" s="23"/>
      <c r="W64" s="23"/>
      <c r="X64" s="23"/>
      <c r="Y64" s="23"/>
      <c r="Z64" s="23"/>
      <c r="AA64" s="16"/>
      <c r="AB64" s="23"/>
      <c r="AC64" s="28"/>
      <c r="AD64" s="32"/>
      <c r="AE64" s="28"/>
      <c r="AF64" s="29"/>
      <c r="AG64" s="26"/>
      <c r="AH64" s="23"/>
      <c r="AI64" s="23"/>
      <c r="AJ64" s="23"/>
      <c r="AK64" s="23"/>
      <c r="AL64" s="23"/>
      <c r="AM64" s="16"/>
    </row>
    <row r="65" spans="1:39" ht="17.25" customHeight="1" x14ac:dyDescent="0.2">
      <c r="A65" s="50">
        <v>46081</v>
      </c>
      <c r="B65" s="60"/>
      <c r="C65" s="22"/>
      <c r="D65" s="4" t="s">
        <v>36</v>
      </c>
      <c r="E65" s="23" t="s">
        <v>58</v>
      </c>
      <c r="F65" s="32" t="s">
        <v>42</v>
      </c>
      <c r="G65" s="28"/>
      <c r="H65" s="29" t="s">
        <v>121</v>
      </c>
      <c r="I65" s="26">
        <v>46080</v>
      </c>
      <c r="J65" s="23"/>
      <c r="K65" s="23"/>
      <c r="L65" s="23"/>
      <c r="M65" s="23"/>
      <c r="N65" s="23"/>
      <c r="O65" s="16"/>
      <c r="P65" s="23" t="s">
        <v>23</v>
      </c>
      <c r="Q65" s="28"/>
      <c r="R65" s="32" t="s">
        <v>21</v>
      </c>
      <c r="S65" s="28"/>
      <c r="T65" s="74" t="s">
        <v>122</v>
      </c>
      <c r="U65" s="26"/>
      <c r="V65" s="23"/>
      <c r="W65" s="23"/>
      <c r="X65" s="23"/>
      <c r="Y65" s="23"/>
      <c r="Z65" s="23"/>
      <c r="AA65" s="16"/>
      <c r="AB65" s="23"/>
      <c r="AC65" s="28"/>
      <c r="AD65" s="32"/>
      <c r="AE65" s="28"/>
      <c r="AF65" s="29"/>
      <c r="AG65" s="26"/>
      <c r="AH65" s="23"/>
      <c r="AI65" s="23"/>
      <c r="AJ65" s="23"/>
      <c r="AK65" s="23"/>
      <c r="AL65" s="23"/>
      <c r="AM65" s="16"/>
    </row>
    <row r="66" spans="1:39" ht="17.25" customHeight="1" x14ac:dyDescent="0.2">
      <c r="A66" s="50">
        <v>46082</v>
      </c>
      <c r="B66" s="60"/>
      <c r="C66" s="22"/>
      <c r="D66" s="4" t="s">
        <v>37</v>
      </c>
      <c r="E66" s="23" t="s">
        <v>20</v>
      </c>
      <c r="F66" s="32" t="s">
        <v>28</v>
      </c>
      <c r="G66" s="37"/>
      <c r="H66" s="30" t="s">
        <v>103</v>
      </c>
      <c r="I66" s="26"/>
      <c r="J66" s="23"/>
      <c r="K66" s="23"/>
      <c r="L66" s="23"/>
      <c r="M66" s="23"/>
      <c r="N66" s="23"/>
      <c r="O66" s="16"/>
      <c r="P66" s="23" t="s">
        <v>23</v>
      </c>
      <c r="Q66" s="28"/>
      <c r="R66" s="32" t="s">
        <v>42</v>
      </c>
      <c r="S66" s="38"/>
      <c r="T66" s="36" t="s">
        <v>123</v>
      </c>
      <c r="U66" s="26"/>
      <c r="V66" s="23"/>
      <c r="W66" s="23"/>
      <c r="X66" s="23"/>
      <c r="Y66" s="23"/>
      <c r="Z66" s="23"/>
      <c r="AA66" s="16"/>
      <c r="AB66" s="23"/>
      <c r="AC66" s="28"/>
      <c r="AD66" s="32"/>
      <c r="AE66" s="28"/>
      <c r="AF66" s="29"/>
      <c r="AG66" s="26"/>
      <c r="AH66" s="23"/>
      <c r="AI66" s="23"/>
      <c r="AJ66" s="23"/>
      <c r="AK66" s="23"/>
      <c r="AL66" s="23"/>
      <c r="AM66" s="16"/>
    </row>
    <row r="67" spans="1:39" ht="17.25" customHeight="1" x14ac:dyDescent="0.2">
      <c r="A67" s="48"/>
      <c r="B67" s="60"/>
      <c r="C67" s="15"/>
      <c r="D67" s="4"/>
      <c r="E67" s="14"/>
      <c r="F67" s="15"/>
      <c r="G67" s="16"/>
      <c r="H67" s="15"/>
      <c r="I67" s="17"/>
      <c r="J67" s="17"/>
      <c r="K67" s="17"/>
      <c r="L67" s="17"/>
      <c r="M67" s="17"/>
      <c r="N67" s="17"/>
      <c r="O67" s="15"/>
      <c r="P67" s="14"/>
      <c r="Q67" s="16"/>
      <c r="R67" s="15"/>
      <c r="S67" s="16"/>
      <c r="T67" s="15"/>
      <c r="U67" s="17"/>
      <c r="V67" s="17"/>
      <c r="W67" s="17"/>
      <c r="X67" s="17"/>
      <c r="Y67" s="17"/>
      <c r="Z67" s="17"/>
      <c r="AA67" s="15"/>
      <c r="AB67" s="14"/>
      <c r="AC67" s="16"/>
      <c r="AD67" s="15"/>
      <c r="AE67" s="16"/>
      <c r="AF67" s="15"/>
      <c r="AG67" s="17"/>
      <c r="AH67" s="17"/>
      <c r="AI67" s="17"/>
      <c r="AJ67" s="17"/>
      <c r="AK67" s="17"/>
      <c r="AL67" s="17"/>
      <c r="AM67" s="15"/>
    </row>
    <row r="68" spans="1:39" ht="17.25" customHeight="1" x14ac:dyDescent="0.2">
      <c r="A68" s="50">
        <v>46083</v>
      </c>
      <c r="B68" s="41" t="s">
        <v>124</v>
      </c>
      <c r="C68" s="22"/>
      <c r="D68" s="4" t="s">
        <v>19</v>
      </c>
      <c r="E68" s="23" t="s">
        <v>58</v>
      </c>
      <c r="F68" s="32" t="s">
        <v>75</v>
      </c>
      <c r="G68" s="28"/>
      <c r="H68" s="29" t="s">
        <v>125</v>
      </c>
      <c r="I68" s="26"/>
      <c r="J68" s="23"/>
      <c r="K68" s="23"/>
      <c r="L68" s="23"/>
      <c r="M68" s="23"/>
      <c r="N68" s="23"/>
      <c r="O68" s="16"/>
      <c r="P68" s="23" t="s">
        <v>23</v>
      </c>
      <c r="Q68" s="28"/>
      <c r="R68" s="32" t="s">
        <v>21</v>
      </c>
      <c r="S68" s="28"/>
      <c r="T68" s="36" t="s">
        <v>126</v>
      </c>
      <c r="U68" s="26"/>
      <c r="V68" s="23"/>
      <c r="W68" s="23"/>
      <c r="X68" s="23"/>
      <c r="Y68" s="23"/>
      <c r="Z68" s="23"/>
      <c r="AA68" s="16"/>
      <c r="AB68" s="23" t="s">
        <v>58</v>
      </c>
      <c r="AC68" s="28"/>
      <c r="AD68" s="32" t="s">
        <v>53</v>
      </c>
      <c r="AE68" s="28"/>
      <c r="AF68" s="66" t="s">
        <v>127</v>
      </c>
      <c r="AG68" s="26"/>
      <c r="AH68" s="23"/>
      <c r="AI68" s="23"/>
      <c r="AJ68" s="23"/>
      <c r="AK68" s="23"/>
      <c r="AL68" s="23"/>
      <c r="AM68" s="16"/>
    </row>
    <row r="69" spans="1:39" ht="17.25" customHeight="1" x14ac:dyDescent="0.2">
      <c r="A69" s="50">
        <v>46084</v>
      </c>
      <c r="B69" s="60"/>
      <c r="C69" s="22"/>
      <c r="D69" s="4" t="s">
        <v>27</v>
      </c>
      <c r="E69" s="23" t="s">
        <v>26</v>
      </c>
      <c r="F69" s="32" t="s">
        <v>21</v>
      </c>
      <c r="G69" s="28"/>
      <c r="H69" s="66" t="s">
        <v>128</v>
      </c>
      <c r="I69" s="26"/>
      <c r="J69" s="23"/>
      <c r="K69" s="23"/>
      <c r="L69" s="23"/>
      <c r="M69" s="23"/>
      <c r="N69" s="23"/>
      <c r="O69" s="16"/>
      <c r="P69" s="23" t="s">
        <v>23</v>
      </c>
      <c r="Q69" s="28"/>
      <c r="R69" s="32" t="s">
        <v>56</v>
      </c>
      <c r="S69" s="28"/>
      <c r="T69" s="36" t="s">
        <v>129</v>
      </c>
      <c r="U69" s="26">
        <v>46094</v>
      </c>
      <c r="V69" s="23"/>
      <c r="W69" s="23"/>
      <c r="X69" s="23"/>
      <c r="Y69" s="23"/>
      <c r="Z69" s="23"/>
      <c r="AA69" s="16"/>
      <c r="AB69" s="23"/>
      <c r="AC69" s="28"/>
      <c r="AD69" s="32"/>
      <c r="AE69" s="28"/>
      <c r="AF69" s="29"/>
      <c r="AG69" s="26"/>
      <c r="AH69" s="23"/>
      <c r="AI69" s="23"/>
      <c r="AJ69" s="23"/>
      <c r="AK69" s="23"/>
      <c r="AL69" s="23"/>
      <c r="AM69" s="16"/>
    </row>
    <row r="70" spans="1:39" ht="17.25" customHeight="1" x14ac:dyDescent="0.2">
      <c r="A70" s="50">
        <v>46085</v>
      </c>
      <c r="B70" s="60"/>
      <c r="C70" s="22"/>
      <c r="D70" s="4" t="s">
        <v>31</v>
      </c>
      <c r="E70" s="23" t="s">
        <v>58</v>
      </c>
      <c r="F70" s="32" t="s">
        <v>28</v>
      </c>
      <c r="G70" s="37"/>
      <c r="H70" s="69" t="s">
        <v>103</v>
      </c>
      <c r="I70" s="26"/>
      <c r="J70" s="23"/>
      <c r="K70" s="23"/>
      <c r="L70" s="23"/>
      <c r="M70" s="23"/>
      <c r="N70" s="23"/>
      <c r="O70" s="16"/>
      <c r="P70" s="23" t="s">
        <v>58</v>
      </c>
      <c r="Q70" s="75"/>
      <c r="R70" s="32" t="s">
        <v>44</v>
      </c>
      <c r="S70" s="29"/>
      <c r="T70" s="56" t="s">
        <v>130</v>
      </c>
      <c r="U70" s="26"/>
      <c r="V70" s="23"/>
      <c r="W70" s="23"/>
      <c r="X70" s="23"/>
      <c r="Y70" s="23"/>
      <c r="Z70" s="23"/>
      <c r="AA70" s="16"/>
      <c r="AB70" s="23" t="s">
        <v>20</v>
      </c>
      <c r="AC70" s="28"/>
      <c r="AD70" s="32" t="s">
        <v>72</v>
      </c>
      <c r="AE70" s="58"/>
      <c r="AF70" s="29" t="s">
        <v>131</v>
      </c>
      <c r="AG70" s="26"/>
      <c r="AH70" s="23"/>
      <c r="AI70" s="23"/>
      <c r="AJ70" s="23"/>
      <c r="AK70" s="23"/>
      <c r="AL70" s="23"/>
      <c r="AM70" s="16"/>
    </row>
    <row r="71" spans="1:39" ht="17.25" customHeight="1" x14ac:dyDescent="0.2">
      <c r="A71" s="50">
        <v>46086</v>
      </c>
      <c r="B71" s="60"/>
      <c r="C71" s="22">
        <v>10</v>
      </c>
      <c r="D71" s="4" t="s">
        <v>33</v>
      </c>
      <c r="E71" s="23" t="s">
        <v>50</v>
      </c>
      <c r="F71" s="29" t="s">
        <v>44</v>
      </c>
      <c r="G71" s="29"/>
      <c r="H71" s="30" t="s">
        <v>132</v>
      </c>
      <c r="I71" s="26"/>
      <c r="J71" s="23"/>
      <c r="K71" s="23"/>
      <c r="L71" s="23"/>
      <c r="M71" s="23"/>
      <c r="N71" s="23"/>
      <c r="O71" s="16"/>
      <c r="P71" s="23" t="s">
        <v>23</v>
      </c>
      <c r="Q71" s="28"/>
      <c r="R71" s="32" t="s">
        <v>44</v>
      </c>
      <c r="S71" s="28"/>
      <c r="T71" s="36" t="s">
        <v>133</v>
      </c>
      <c r="U71" s="26"/>
      <c r="V71" s="23"/>
      <c r="W71" s="23"/>
      <c r="X71" s="23"/>
      <c r="Y71" s="23"/>
      <c r="Z71" s="23"/>
      <c r="AA71" s="16"/>
      <c r="AB71" s="23"/>
      <c r="AC71" s="28"/>
      <c r="AD71" s="32"/>
      <c r="AE71" s="28"/>
      <c r="AF71" s="30"/>
      <c r="AG71" s="26"/>
      <c r="AH71" s="23"/>
      <c r="AI71" s="23"/>
      <c r="AJ71" s="23"/>
      <c r="AK71" s="23"/>
      <c r="AL71" s="23"/>
      <c r="AM71" s="16"/>
    </row>
    <row r="72" spans="1:39" ht="17.25" customHeight="1" x14ac:dyDescent="0.2">
      <c r="A72" s="50">
        <v>46087</v>
      </c>
      <c r="B72" s="60"/>
      <c r="C72" s="22"/>
      <c r="D72" s="4" t="s">
        <v>35</v>
      </c>
      <c r="E72" s="23" t="s">
        <v>58</v>
      </c>
      <c r="F72" s="32" t="s">
        <v>56</v>
      </c>
      <c r="G72" s="29"/>
      <c r="H72" s="30" t="s">
        <v>134</v>
      </c>
      <c r="I72" s="26"/>
      <c r="J72" s="23"/>
      <c r="K72" s="23"/>
      <c r="L72" s="23"/>
      <c r="M72" s="23"/>
      <c r="N72" s="23"/>
      <c r="O72" s="16"/>
      <c r="P72" s="23" t="s">
        <v>58</v>
      </c>
      <c r="Q72" s="28"/>
      <c r="R72" s="32" t="s">
        <v>44</v>
      </c>
      <c r="S72" s="28"/>
      <c r="T72" s="65" t="s">
        <v>135</v>
      </c>
      <c r="U72" s="26"/>
      <c r="V72" s="23"/>
      <c r="W72" s="23"/>
      <c r="X72" s="23"/>
      <c r="Y72" s="23"/>
      <c r="Z72" s="23"/>
      <c r="AA72" s="16"/>
      <c r="AB72" s="23"/>
      <c r="AC72" s="28"/>
      <c r="AD72" s="32"/>
      <c r="AE72" s="37"/>
      <c r="AF72" s="68"/>
      <c r="AG72" s="26"/>
      <c r="AH72" s="23"/>
      <c r="AI72" s="23"/>
      <c r="AJ72" s="23"/>
      <c r="AK72" s="23"/>
      <c r="AL72" s="23"/>
      <c r="AM72" s="16"/>
    </row>
    <row r="73" spans="1:39" ht="17.25" customHeight="1" x14ac:dyDescent="0.2">
      <c r="A73" s="50">
        <v>46088</v>
      </c>
      <c r="B73" s="60"/>
      <c r="C73" s="22"/>
      <c r="D73" s="4" t="s">
        <v>36</v>
      </c>
      <c r="E73" s="23" t="s">
        <v>20</v>
      </c>
      <c r="F73" s="32" t="s">
        <v>21</v>
      </c>
      <c r="G73" s="28"/>
      <c r="H73" s="36" t="s">
        <v>136</v>
      </c>
      <c r="I73" s="26"/>
      <c r="J73" s="23"/>
      <c r="K73" s="23"/>
      <c r="L73" s="23"/>
      <c r="M73" s="23"/>
      <c r="N73" s="23"/>
      <c r="O73" s="16"/>
      <c r="P73" s="23" t="s">
        <v>23</v>
      </c>
      <c r="Q73" s="28"/>
      <c r="R73" s="32" t="s">
        <v>42</v>
      </c>
      <c r="S73" s="76"/>
      <c r="T73" s="30" t="s">
        <v>123</v>
      </c>
      <c r="U73" s="26">
        <v>46094</v>
      </c>
      <c r="V73" s="23"/>
      <c r="W73" s="23"/>
      <c r="X73" s="23"/>
      <c r="Y73" s="23"/>
      <c r="Z73" s="23"/>
      <c r="AA73" s="16"/>
      <c r="AB73" s="23"/>
      <c r="AC73" s="28"/>
      <c r="AD73" s="32"/>
      <c r="AE73" s="28"/>
      <c r="AF73" s="29"/>
      <c r="AG73" s="26"/>
      <c r="AH73" s="23"/>
      <c r="AI73" s="23"/>
      <c r="AJ73" s="23"/>
      <c r="AK73" s="23"/>
      <c r="AL73" s="23"/>
      <c r="AM73" s="16"/>
    </row>
    <row r="74" spans="1:39" ht="17.25" customHeight="1" x14ac:dyDescent="0.2">
      <c r="A74" s="50">
        <v>46089</v>
      </c>
      <c r="B74" s="60"/>
      <c r="C74" s="22"/>
      <c r="D74" s="4" t="s">
        <v>37</v>
      </c>
      <c r="E74" s="23" t="s">
        <v>26</v>
      </c>
      <c r="F74" s="32" t="s">
        <v>44</v>
      </c>
      <c r="G74" s="28"/>
      <c r="H74" s="73" t="s">
        <v>137</v>
      </c>
      <c r="I74" s="26"/>
      <c r="J74" s="23"/>
      <c r="K74" s="23"/>
      <c r="L74" s="23"/>
      <c r="M74" s="23"/>
      <c r="N74" s="23"/>
      <c r="O74" s="16"/>
      <c r="P74" s="23" t="s">
        <v>58</v>
      </c>
      <c r="Q74" s="28"/>
      <c r="R74" s="32" t="s">
        <v>44</v>
      </c>
      <c r="S74" s="28"/>
      <c r="T74" s="36" t="s">
        <v>138</v>
      </c>
      <c r="U74" s="26"/>
      <c r="V74" s="23"/>
      <c r="W74" s="23"/>
      <c r="X74" s="23"/>
      <c r="Y74" s="23"/>
      <c r="Z74" s="23"/>
      <c r="AA74" s="16"/>
      <c r="AB74" s="23"/>
      <c r="AC74" s="28"/>
      <c r="AD74" s="32"/>
      <c r="AE74" s="28"/>
      <c r="AF74" s="29"/>
      <c r="AG74" s="26"/>
      <c r="AH74" s="23"/>
      <c r="AI74" s="23"/>
      <c r="AJ74" s="23"/>
      <c r="AK74" s="23"/>
      <c r="AL74" s="23"/>
      <c r="AM74" s="16"/>
    </row>
    <row r="75" spans="1:39" ht="17.25" customHeight="1" x14ac:dyDescent="0.2">
      <c r="A75" s="48"/>
      <c r="B75" s="60"/>
      <c r="C75" s="77"/>
      <c r="D75" s="15"/>
      <c r="E75" s="14"/>
      <c r="F75" s="15"/>
      <c r="G75" s="16"/>
      <c r="H75" s="15"/>
      <c r="I75" s="17"/>
      <c r="J75" s="17"/>
      <c r="K75" s="17"/>
      <c r="L75" s="17"/>
      <c r="M75" s="17"/>
      <c r="N75" s="17"/>
      <c r="O75" s="15"/>
      <c r="P75" s="14"/>
      <c r="Q75" s="16"/>
      <c r="R75" s="15"/>
      <c r="S75" s="16"/>
      <c r="T75" s="15"/>
      <c r="U75" s="17"/>
      <c r="V75" s="17"/>
      <c r="W75" s="17"/>
      <c r="X75" s="17"/>
      <c r="Y75" s="17"/>
      <c r="Z75" s="17"/>
      <c r="AA75" s="15"/>
      <c r="AB75" s="14"/>
      <c r="AC75" s="16"/>
      <c r="AD75" s="15"/>
      <c r="AE75" s="16"/>
      <c r="AF75" s="15"/>
      <c r="AG75" s="17"/>
      <c r="AH75" s="17"/>
      <c r="AI75" s="17"/>
      <c r="AJ75" s="17"/>
      <c r="AK75" s="17"/>
      <c r="AL75" s="17"/>
      <c r="AM75" s="15"/>
    </row>
    <row r="76" spans="1:39" ht="17.25" customHeight="1" x14ac:dyDescent="0.2">
      <c r="A76" s="50">
        <v>46090</v>
      </c>
      <c r="B76" s="60" t="s">
        <v>139</v>
      </c>
      <c r="C76" s="22"/>
      <c r="D76" s="4" t="s">
        <v>19</v>
      </c>
      <c r="E76" s="23"/>
      <c r="F76" s="32" t="s">
        <v>75</v>
      </c>
      <c r="G76" s="28"/>
      <c r="H76" s="29" t="s">
        <v>140</v>
      </c>
      <c r="I76" s="26"/>
      <c r="J76" s="23"/>
      <c r="K76" s="23"/>
      <c r="L76" s="23"/>
      <c r="M76" s="23"/>
      <c r="N76" s="23"/>
      <c r="O76" s="16"/>
      <c r="P76" s="23" t="s">
        <v>141</v>
      </c>
      <c r="Q76" s="32"/>
      <c r="R76" s="32" t="s">
        <v>28</v>
      </c>
      <c r="S76" s="29"/>
      <c r="T76" s="56" t="s">
        <v>142</v>
      </c>
      <c r="U76" s="23"/>
      <c r="V76" s="23"/>
      <c r="W76" s="23"/>
      <c r="X76" s="23"/>
      <c r="Y76" s="23"/>
      <c r="Z76" s="23"/>
      <c r="AA76" s="16"/>
      <c r="AB76" s="23"/>
      <c r="AC76" s="28"/>
      <c r="AD76" s="32"/>
      <c r="AE76" s="37"/>
      <c r="AF76" s="69"/>
      <c r="AG76" s="26"/>
      <c r="AH76" s="23"/>
      <c r="AI76" s="23"/>
      <c r="AJ76" s="23"/>
      <c r="AK76" s="23"/>
      <c r="AL76" s="23"/>
      <c r="AM76" s="16"/>
    </row>
    <row r="77" spans="1:39" ht="22.5" customHeight="1" x14ac:dyDescent="0.2">
      <c r="A77" s="50">
        <v>46091</v>
      </c>
      <c r="B77" s="60"/>
      <c r="C77" s="22"/>
      <c r="D77" s="4" t="s">
        <v>27</v>
      </c>
      <c r="E77" s="23"/>
      <c r="F77" s="29" t="s">
        <v>28</v>
      </c>
      <c r="G77" s="28"/>
      <c r="H77" s="29" t="s">
        <v>143</v>
      </c>
      <c r="I77" s="26"/>
      <c r="J77" s="23"/>
      <c r="K77" s="23"/>
      <c r="L77" s="23"/>
      <c r="M77" s="23"/>
      <c r="N77" s="23"/>
      <c r="O77" s="16"/>
      <c r="P77" s="23" t="s">
        <v>141</v>
      </c>
      <c r="Q77" s="32"/>
      <c r="R77" s="32" t="s">
        <v>56</v>
      </c>
      <c r="S77" s="37"/>
      <c r="T77" s="56" t="s">
        <v>144</v>
      </c>
      <c r="U77" s="23"/>
      <c r="V77" s="23"/>
      <c r="W77" s="23"/>
      <c r="X77" s="23"/>
      <c r="Y77" s="23"/>
      <c r="Z77" s="23"/>
      <c r="AA77" s="16"/>
      <c r="AB77" s="23" t="s">
        <v>23</v>
      </c>
      <c r="AC77" s="28"/>
      <c r="AD77" s="32" t="s">
        <v>72</v>
      </c>
      <c r="AE77" s="28"/>
      <c r="AF77" s="68" t="s">
        <v>145</v>
      </c>
      <c r="AG77" s="26"/>
      <c r="AH77" s="23"/>
      <c r="AI77" s="23"/>
      <c r="AJ77" s="23"/>
      <c r="AK77" s="23"/>
      <c r="AL77" s="23"/>
      <c r="AM77" s="16"/>
    </row>
    <row r="78" spans="1:39" ht="15" customHeight="1" x14ac:dyDescent="0.2">
      <c r="A78" s="50">
        <v>46092</v>
      </c>
      <c r="B78" s="60"/>
      <c r="C78" s="22"/>
      <c r="D78" s="4" t="s">
        <v>31</v>
      </c>
      <c r="E78" s="23"/>
      <c r="F78" s="78" t="s">
        <v>42</v>
      </c>
      <c r="G78" s="24"/>
      <c r="H78" s="30" t="s">
        <v>146</v>
      </c>
      <c r="I78" s="26"/>
      <c r="J78" s="23"/>
      <c r="K78" s="23"/>
      <c r="L78" s="23"/>
      <c r="M78" s="23"/>
      <c r="N78" s="23"/>
      <c r="O78" s="16"/>
      <c r="P78" s="23"/>
      <c r="Q78" s="32"/>
      <c r="R78" s="32" t="s">
        <v>42</v>
      </c>
      <c r="S78" s="28"/>
      <c r="T78" s="79" t="s">
        <v>147</v>
      </c>
      <c r="U78" s="23"/>
      <c r="V78" s="23"/>
      <c r="W78" s="23"/>
      <c r="X78" s="23"/>
      <c r="Y78" s="23"/>
      <c r="Z78" s="23"/>
      <c r="AA78" s="16"/>
      <c r="AB78" s="23" t="s">
        <v>58</v>
      </c>
      <c r="AC78" s="28"/>
      <c r="AD78" s="32" t="s">
        <v>56</v>
      </c>
      <c r="AE78" s="58"/>
      <c r="AF78" s="80" t="s">
        <v>148</v>
      </c>
      <c r="AG78" s="26"/>
      <c r="AH78" s="23"/>
      <c r="AI78" s="23"/>
      <c r="AJ78" s="23"/>
      <c r="AK78" s="23"/>
      <c r="AL78" s="23"/>
      <c r="AM78" s="16"/>
    </row>
    <row r="79" spans="1:39" ht="17.25" customHeight="1" x14ac:dyDescent="0.2">
      <c r="A79" s="50">
        <v>46093</v>
      </c>
      <c r="B79" s="60"/>
      <c r="C79" s="22">
        <v>11</v>
      </c>
      <c r="D79" s="4" t="s">
        <v>33</v>
      </c>
      <c r="E79" s="23"/>
      <c r="F79" s="81" t="s">
        <v>42</v>
      </c>
      <c r="G79" s="24"/>
      <c r="H79" s="24" t="s">
        <v>149</v>
      </c>
      <c r="I79" s="26"/>
      <c r="J79" s="23"/>
      <c r="K79" s="23"/>
      <c r="L79" s="23"/>
      <c r="M79" s="23"/>
      <c r="N79" s="23"/>
      <c r="O79" s="16"/>
      <c r="P79" s="23" t="s">
        <v>58</v>
      </c>
      <c r="Q79" s="32"/>
      <c r="R79" s="32" t="s">
        <v>21</v>
      </c>
      <c r="S79" s="76"/>
      <c r="T79" s="30" t="s">
        <v>150</v>
      </c>
      <c r="U79" s="23"/>
      <c r="V79" s="23"/>
      <c r="W79" s="23"/>
      <c r="X79" s="23"/>
      <c r="Y79" s="23"/>
      <c r="Z79" s="23"/>
      <c r="AA79" s="16"/>
      <c r="AB79" s="23" t="s">
        <v>58</v>
      </c>
      <c r="AC79" s="37"/>
      <c r="AD79" s="32" t="s">
        <v>56</v>
      </c>
      <c r="AE79" s="37"/>
      <c r="AF79" s="30" t="s">
        <v>151</v>
      </c>
      <c r="AG79" s="26"/>
      <c r="AH79" s="23"/>
      <c r="AI79" s="23"/>
      <c r="AJ79" s="23"/>
      <c r="AK79" s="23"/>
      <c r="AL79" s="23"/>
      <c r="AM79" s="16"/>
    </row>
    <row r="80" spans="1:39" ht="17.25" customHeight="1" x14ac:dyDescent="0.2">
      <c r="A80" s="50">
        <v>46094</v>
      </c>
      <c r="B80" s="82"/>
      <c r="C80" s="22"/>
      <c r="D80" s="4" t="s">
        <v>35</v>
      </c>
      <c r="E80" s="23" t="s">
        <v>152</v>
      </c>
      <c r="F80" s="32" t="s">
        <v>44</v>
      </c>
      <c r="G80" s="28"/>
      <c r="H80" s="30" t="s">
        <v>153</v>
      </c>
      <c r="I80" s="26"/>
      <c r="J80" s="23"/>
      <c r="K80" s="23"/>
      <c r="L80" s="23"/>
      <c r="M80" s="23"/>
      <c r="N80" s="23"/>
      <c r="O80" s="16"/>
      <c r="P80" s="23"/>
      <c r="Q80" s="32"/>
      <c r="R80" s="32" t="s">
        <v>44</v>
      </c>
      <c r="S80" s="28"/>
      <c r="T80" s="36" t="s">
        <v>154</v>
      </c>
      <c r="U80" s="23"/>
      <c r="V80" s="23"/>
      <c r="W80" s="23"/>
      <c r="X80" s="23"/>
      <c r="Y80" s="23"/>
      <c r="Z80" s="23"/>
      <c r="AA80" s="16"/>
      <c r="AB80" s="23" t="s">
        <v>20</v>
      </c>
      <c r="AC80" s="28"/>
      <c r="AD80" s="32" t="s">
        <v>155</v>
      </c>
      <c r="AE80" s="28"/>
      <c r="AF80" s="30" t="s">
        <v>156</v>
      </c>
      <c r="AG80" s="26"/>
      <c r="AH80" s="23"/>
      <c r="AI80" s="23"/>
      <c r="AJ80" s="23"/>
      <c r="AK80" s="23"/>
      <c r="AL80" s="23"/>
      <c r="AM80" s="16"/>
    </row>
    <row r="81" spans="1:39" ht="17.25" customHeight="1" x14ac:dyDescent="0.2">
      <c r="A81" s="50">
        <v>46095</v>
      </c>
      <c r="B81" s="60"/>
      <c r="C81" s="22"/>
      <c r="D81" s="4" t="s">
        <v>36</v>
      </c>
      <c r="E81" s="23" t="s">
        <v>157</v>
      </c>
      <c r="F81" s="32" t="s">
        <v>28</v>
      </c>
      <c r="G81" s="28"/>
      <c r="H81" s="29" t="s">
        <v>158</v>
      </c>
      <c r="I81" s="26"/>
      <c r="J81" s="23"/>
      <c r="K81" s="23"/>
      <c r="L81" s="23"/>
      <c r="M81" s="23"/>
      <c r="N81" s="23"/>
      <c r="O81" s="16"/>
      <c r="P81" s="23"/>
      <c r="Q81" s="32"/>
      <c r="R81" s="32" t="s">
        <v>56</v>
      </c>
      <c r="S81" s="29"/>
      <c r="T81" s="30" t="s">
        <v>159</v>
      </c>
      <c r="U81" s="23"/>
      <c r="V81" s="23"/>
      <c r="W81" s="23"/>
      <c r="X81" s="23"/>
      <c r="Y81" s="23"/>
      <c r="Z81" s="23"/>
      <c r="AA81" s="16"/>
      <c r="AB81" s="23" t="s">
        <v>58</v>
      </c>
      <c r="AC81" s="28"/>
      <c r="AD81" s="32" t="s">
        <v>21</v>
      </c>
      <c r="AE81" s="28"/>
      <c r="AF81" s="30" t="s">
        <v>160</v>
      </c>
      <c r="AG81" s="26"/>
      <c r="AH81" s="23"/>
      <c r="AI81" s="23"/>
      <c r="AJ81" s="23"/>
      <c r="AK81" s="23"/>
      <c r="AL81" s="23"/>
      <c r="AM81" s="16"/>
    </row>
    <row r="82" spans="1:39" ht="17.25" customHeight="1" x14ac:dyDescent="0.2">
      <c r="A82" s="50">
        <v>46096</v>
      </c>
      <c r="B82" s="83"/>
      <c r="C82" s="22"/>
      <c r="D82" s="4" t="s">
        <v>37</v>
      </c>
      <c r="E82" s="23" t="s">
        <v>58</v>
      </c>
      <c r="F82" s="32" t="s">
        <v>28</v>
      </c>
      <c r="G82" s="29"/>
      <c r="H82" s="30" t="s">
        <v>161</v>
      </c>
      <c r="I82" s="26"/>
      <c r="J82" s="23"/>
      <c r="K82" s="23"/>
      <c r="L82" s="23"/>
      <c r="M82" s="23"/>
      <c r="N82" s="23"/>
      <c r="O82" s="16"/>
      <c r="P82" s="23"/>
      <c r="Q82" s="32"/>
      <c r="R82" s="32" t="s">
        <v>44</v>
      </c>
      <c r="S82" s="38"/>
      <c r="T82" s="32" t="s">
        <v>162</v>
      </c>
      <c r="U82" s="23"/>
      <c r="V82" s="23"/>
      <c r="W82" s="23"/>
      <c r="X82" s="23"/>
      <c r="Y82" s="23"/>
      <c r="Z82" s="23"/>
      <c r="AA82" s="16"/>
      <c r="AB82" s="23" t="s">
        <v>23</v>
      </c>
      <c r="AC82" s="28"/>
      <c r="AD82" s="32" t="s">
        <v>24</v>
      </c>
      <c r="AE82" s="28"/>
      <c r="AF82" s="29" t="s">
        <v>163</v>
      </c>
      <c r="AG82" s="26">
        <v>46094</v>
      </c>
      <c r="AH82" s="23"/>
      <c r="AI82" s="23"/>
      <c r="AJ82" s="23"/>
      <c r="AK82" s="23"/>
      <c r="AL82" s="23"/>
      <c r="AM82" s="16"/>
    </row>
    <row r="83" spans="1:39" ht="17.25" customHeight="1" x14ac:dyDescent="0.2">
      <c r="A83" s="48"/>
      <c r="B83" s="60"/>
      <c r="C83" s="77"/>
      <c r="D83" s="15"/>
      <c r="E83" s="14"/>
      <c r="F83" s="15"/>
      <c r="G83" s="16"/>
      <c r="H83" s="15"/>
      <c r="I83" s="17"/>
      <c r="J83" s="17"/>
      <c r="K83" s="17"/>
      <c r="L83" s="17"/>
      <c r="M83" s="17"/>
      <c r="N83" s="17"/>
      <c r="O83" s="15"/>
      <c r="P83" s="14"/>
      <c r="Q83" s="16"/>
      <c r="R83" s="15"/>
      <c r="S83" s="16"/>
      <c r="T83" s="15"/>
      <c r="U83" s="17"/>
      <c r="V83" s="17"/>
      <c r="W83" s="17"/>
      <c r="X83" s="17"/>
      <c r="Y83" s="17"/>
      <c r="Z83" s="17"/>
      <c r="AA83" s="15"/>
      <c r="AB83" s="14"/>
      <c r="AC83" s="16"/>
      <c r="AD83" s="15"/>
      <c r="AE83" s="16"/>
      <c r="AF83" s="15"/>
      <c r="AG83" s="17"/>
      <c r="AH83" s="17"/>
      <c r="AI83" s="17"/>
      <c r="AJ83" s="17"/>
      <c r="AK83" s="17"/>
      <c r="AL83" s="17"/>
      <c r="AM83" s="15"/>
    </row>
    <row r="84" spans="1:39" ht="17.25" customHeight="1" x14ac:dyDescent="0.2">
      <c r="A84" s="50">
        <v>46097</v>
      </c>
      <c r="B84" s="60"/>
      <c r="C84" s="22"/>
      <c r="D84" s="4" t="s">
        <v>19</v>
      </c>
      <c r="E84" s="23"/>
      <c r="F84" s="32" t="s">
        <v>75</v>
      </c>
      <c r="G84" s="28"/>
      <c r="H84" s="29" t="s">
        <v>164</v>
      </c>
      <c r="I84" s="26"/>
      <c r="J84" s="23"/>
      <c r="K84" s="23"/>
      <c r="L84" s="23"/>
      <c r="M84" s="23"/>
      <c r="N84" s="23"/>
      <c r="O84" s="16"/>
      <c r="P84" s="23"/>
      <c r="Q84" s="28"/>
      <c r="R84" s="32"/>
      <c r="S84" s="28"/>
      <c r="T84" s="74" t="s">
        <v>165</v>
      </c>
      <c r="U84" s="26"/>
      <c r="V84" s="23"/>
      <c r="W84" s="23"/>
      <c r="X84" s="23"/>
      <c r="Y84" s="23"/>
      <c r="Z84" s="23"/>
      <c r="AA84" s="16"/>
      <c r="AB84" s="23"/>
      <c r="AC84" s="28"/>
      <c r="AD84" s="32"/>
      <c r="AE84" s="28"/>
      <c r="AF84" s="29"/>
      <c r="AG84" s="26"/>
      <c r="AH84" s="23"/>
      <c r="AI84" s="23"/>
      <c r="AJ84" s="23"/>
      <c r="AK84" s="23"/>
      <c r="AL84" s="23"/>
      <c r="AM84" s="16"/>
    </row>
    <row r="85" spans="1:39" ht="17.25" customHeight="1" x14ac:dyDescent="0.2">
      <c r="A85" s="50">
        <v>46098</v>
      </c>
      <c r="B85" s="60" t="s">
        <v>166</v>
      </c>
      <c r="C85" s="22"/>
      <c r="D85" s="4" t="s">
        <v>27</v>
      </c>
      <c r="E85" s="23" t="s">
        <v>152</v>
      </c>
      <c r="F85" s="32" t="s">
        <v>44</v>
      </c>
      <c r="G85" s="28"/>
      <c r="H85" s="30" t="s">
        <v>167</v>
      </c>
      <c r="I85" s="26"/>
      <c r="J85" s="23"/>
      <c r="K85" s="23"/>
      <c r="L85" s="23"/>
      <c r="M85" s="23"/>
      <c r="N85" s="23"/>
      <c r="O85" s="16"/>
      <c r="P85" s="23"/>
      <c r="Q85" s="28"/>
      <c r="R85" s="32" t="s">
        <v>42</v>
      </c>
      <c r="S85" s="28"/>
      <c r="T85" s="79" t="s">
        <v>147</v>
      </c>
      <c r="U85" s="26"/>
      <c r="V85" s="23"/>
      <c r="W85" s="23"/>
      <c r="X85" s="23"/>
      <c r="Y85" s="23"/>
      <c r="Z85" s="23"/>
      <c r="AA85" s="16"/>
      <c r="AB85" s="23"/>
      <c r="AC85" s="28"/>
      <c r="AD85" s="32"/>
      <c r="AE85" s="58"/>
      <c r="AF85" s="80"/>
      <c r="AG85" s="26"/>
      <c r="AH85" s="23"/>
      <c r="AI85" s="23"/>
      <c r="AJ85" s="23"/>
      <c r="AK85" s="23"/>
      <c r="AL85" s="23"/>
      <c r="AM85" s="16"/>
    </row>
    <row r="86" spans="1:39" ht="17.25" customHeight="1" x14ac:dyDescent="0.2">
      <c r="A86" s="50">
        <v>46099</v>
      </c>
      <c r="B86" s="60"/>
      <c r="C86" s="22"/>
      <c r="D86" s="4" t="s">
        <v>31</v>
      </c>
      <c r="E86" s="23"/>
      <c r="F86" s="32"/>
      <c r="G86" s="28"/>
      <c r="H86" s="30"/>
      <c r="I86" s="26"/>
      <c r="J86" s="23"/>
      <c r="K86" s="23"/>
      <c r="L86" s="23"/>
      <c r="M86" s="23"/>
      <c r="N86" s="23"/>
      <c r="O86" s="16"/>
      <c r="P86" s="23"/>
      <c r="Q86" s="28"/>
      <c r="R86" s="32" t="s">
        <v>42</v>
      </c>
      <c r="S86" s="29"/>
      <c r="T86" s="56" t="s">
        <v>168</v>
      </c>
      <c r="U86" s="26"/>
      <c r="V86" s="23"/>
      <c r="W86" s="23"/>
      <c r="X86" s="23"/>
      <c r="Y86" s="23"/>
      <c r="Z86" s="23"/>
      <c r="AA86" s="16"/>
      <c r="AB86" s="23"/>
      <c r="AC86" s="37"/>
      <c r="AD86" s="32"/>
      <c r="AE86" s="28"/>
      <c r="AF86" s="68"/>
      <c r="AG86" s="26"/>
      <c r="AH86" s="23"/>
      <c r="AI86" s="23"/>
      <c r="AJ86" s="23"/>
      <c r="AK86" s="23"/>
      <c r="AL86" s="23"/>
      <c r="AM86" s="16"/>
    </row>
    <row r="87" spans="1:39" ht="17.25" customHeight="1" x14ac:dyDescent="0.2">
      <c r="A87" s="50">
        <v>46100</v>
      </c>
      <c r="B87" s="84" t="s">
        <v>169</v>
      </c>
      <c r="C87" s="22">
        <v>12</v>
      </c>
      <c r="D87" s="4" t="s">
        <v>33</v>
      </c>
      <c r="E87" s="23" t="s">
        <v>152</v>
      </c>
      <c r="F87" s="32" t="s">
        <v>21</v>
      </c>
      <c r="G87" s="28"/>
      <c r="H87" s="29" t="s">
        <v>170</v>
      </c>
      <c r="I87" s="26"/>
      <c r="J87" s="23"/>
      <c r="K87" s="23"/>
      <c r="L87" s="23"/>
      <c r="M87" s="23"/>
      <c r="N87" s="23"/>
      <c r="O87" s="16"/>
      <c r="P87" s="23"/>
      <c r="Q87" s="28"/>
      <c r="R87" s="32" t="s">
        <v>39</v>
      </c>
      <c r="S87" s="37"/>
      <c r="T87" s="36" t="s">
        <v>171</v>
      </c>
      <c r="U87" s="26"/>
      <c r="V87" s="23"/>
      <c r="W87" s="23"/>
      <c r="X87" s="23"/>
      <c r="Y87" s="23"/>
      <c r="Z87" s="23"/>
      <c r="AA87" s="16"/>
      <c r="AB87" s="23"/>
      <c r="AC87" s="28"/>
      <c r="AD87" s="32"/>
      <c r="AE87" s="58"/>
      <c r="AF87" s="80"/>
      <c r="AG87" s="26"/>
      <c r="AH87" s="23"/>
      <c r="AI87" s="23"/>
      <c r="AJ87" s="23"/>
      <c r="AK87" s="23"/>
      <c r="AL87" s="23"/>
      <c r="AM87" s="16"/>
    </row>
    <row r="88" spans="1:39" ht="17.25" customHeight="1" x14ac:dyDescent="0.2">
      <c r="A88" s="50">
        <v>46101</v>
      </c>
      <c r="B88" s="84"/>
      <c r="C88" s="22"/>
      <c r="D88" s="4" t="s">
        <v>35</v>
      </c>
      <c r="E88" s="23"/>
      <c r="F88" s="32"/>
      <c r="G88" s="28"/>
      <c r="H88" s="85"/>
      <c r="I88" s="26"/>
      <c r="J88" s="23"/>
      <c r="K88" s="23"/>
      <c r="L88" s="23"/>
      <c r="M88" s="23"/>
      <c r="N88" s="23"/>
      <c r="O88" s="16"/>
      <c r="P88" s="23"/>
      <c r="Q88" s="28"/>
      <c r="R88" s="32"/>
      <c r="S88" s="58"/>
      <c r="T88" s="30" t="s">
        <v>172</v>
      </c>
      <c r="U88" s="26"/>
      <c r="V88" s="23"/>
      <c r="W88" s="23"/>
      <c r="X88" s="23"/>
      <c r="Y88" s="23"/>
      <c r="Z88" s="23"/>
      <c r="AA88" s="16"/>
      <c r="AB88" s="23"/>
      <c r="AC88" s="28"/>
      <c r="AD88" s="32"/>
      <c r="AE88" s="28"/>
      <c r="AF88" s="29"/>
      <c r="AG88" s="26"/>
      <c r="AH88" s="23"/>
      <c r="AI88" s="23"/>
      <c r="AJ88" s="23"/>
      <c r="AK88" s="23"/>
      <c r="AL88" s="23"/>
      <c r="AM88" s="16"/>
    </row>
    <row r="89" spans="1:39" ht="17.25" customHeight="1" x14ac:dyDescent="0.2">
      <c r="A89" s="50">
        <v>46102</v>
      </c>
      <c r="B89" s="84"/>
      <c r="C89" s="22"/>
      <c r="D89" s="4" t="s">
        <v>36</v>
      </c>
      <c r="E89" s="23"/>
      <c r="F89" s="32"/>
      <c r="G89" s="28"/>
      <c r="H89" s="30"/>
      <c r="I89" s="26"/>
      <c r="J89" s="23"/>
      <c r="K89" s="23"/>
      <c r="L89" s="23"/>
      <c r="M89" s="23"/>
      <c r="N89" s="23"/>
      <c r="O89" s="16"/>
      <c r="P89" s="23"/>
      <c r="Q89" s="28"/>
      <c r="R89" s="32" t="s">
        <v>39</v>
      </c>
      <c r="S89" s="28"/>
      <c r="T89" s="36" t="s">
        <v>173</v>
      </c>
      <c r="U89" s="26"/>
      <c r="V89" s="23"/>
      <c r="W89" s="23"/>
      <c r="X89" s="23"/>
      <c r="Y89" s="23"/>
      <c r="Z89" s="23"/>
      <c r="AA89" s="16"/>
      <c r="AB89" s="23"/>
      <c r="AC89" s="28"/>
      <c r="AD89" s="32"/>
      <c r="AE89" s="28"/>
      <c r="AF89" s="29"/>
      <c r="AG89" s="26"/>
      <c r="AH89" s="23"/>
      <c r="AI89" s="23"/>
      <c r="AJ89" s="23"/>
      <c r="AK89" s="23"/>
      <c r="AL89" s="23"/>
      <c r="AM89" s="16"/>
    </row>
    <row r="90" spans="1:39" ht="17.25" customHeight="1" x14ac:dyDescent="0.2">
      <c r="A90" s="50">
        <v>46103</v>
      </c>
      <c r="B90" s="84"/>
      <c r="C90" s="22"/>
      <c r="D90" s="4" t="s">
        <v>37</v>
      </c>
      <c r="E90" s="23"/>
      <c r="F90" s="32"/>
      <c r="G90" s="28"/>
      <c r="H90" s="29"/>
      <c r="I90" s="26"/>
      <c r="J90" s="23"/>
      <c r="K90" s="23"/>
      <c r="L90" s="23"/>
      <c r="M90" s="23"/>
      <c r="N90" s="23"/>
      <c r="O90" s="16"/>
      <c r="P90" s="23"/>
      <c r="Q90" s="28"/>
      <c r="R90" s="32"/>
      <c r="S90" s="28"/>
      <c r="T90" s="65" t="s">
        <v>174</v>
      </c>
      <c r="U90" s="26"/>
      <c r="V90" s="23"/>
      <c r="W90" s="23"/>
      <c r="X90" s="23"/>
      <c r="Y90" s="23"/>
      <c r="Z90" s="23"/>
      <c r="AA90" s="16"/>
      <c r="AB90" s="23"/>
      <c r="AC90" s="28"/>
      <c r="AD90" s="32"/>
      <c r="AE90" s="28"/>
      <c r="AF90" s="29"/>
      <c r="AG90" s="26"/>
      <c r="AH90" s="23"/>
      <c r="AI90" s="23"/>
      <c r="AJ90" s="23"/>
      <c r="AK90" s="23"/>
      <c r="AL90" s="23"/>
      <c r="AM90" s="16"/>
    </row>
    <row r="91" spans="1:39" ht="17.25" customHeight="1" x14ac:dyDescent="0.2">
      <c r="A91" s="48"/>
      <c r="B91" s="84"/>
      <c r="C91" s="77"/>
      <c r="D91" s="15"/>
      <c r="E91" s="14"/>
      <c r="F91" s="15"/>
      <c r="G91" s="16"/>
      <c r="H91" s="15"/>
      <c r="I91" s="17"/>
      <c r="J91" s="17"/>
      <c r="K91" s="17"/>
      <c r="L91" s="17"/>
      <c r="M91" s="17"/>
      <c r="N91" s="17"/>
      <c r="O91" s="15"/>
      <c r="P91" s="14"/>
      <c r="Q91" s="16"/>
      <c r="R91" s="15"/>
      <c r="S91" s="16"/>
      <c r="T91" s="15"/>
      <c r="U91" s="17"/>
      <c r="V91" s="17"/>
      <c r="W91" s="17"/>
      <c r="X91" s="17"/>
      <c r="Y91" s="17"/>
      <c r="Z91" s="17"/>
      <c r="AA91" s="15"/>
      <c r="AB91" s="14"/>
      <c r="AC91" s="16"/>
      <c r="AD91" s="15"/>
      <c r="AE91" s="16"/>
      <c r="AF91" s="15"/>
      <c r="AG91" s="17"/>
      <c r="AH91" s="17"/>
      <c r="AI91" s="17"/>
      <c r="AJ91" s="17"/>
      <c r="AK91" s="17"/>
      <c r="AL91" s="17"/>
      <c r="AM91" s="15"/>
    </row>
    <row r="92" spans="1:39" ht="17.25" customHeight="1" x14ac:dyDescent="0.2">
      <c r="A92" s="50">
        <v>46104</v>
      </c>
      <c r="B92" s="84"/>
      <c r="C92" s="22"/>
      <c r="D92" s="4" t="s">
        <v>19</v>
      </c>
      <c r="E92" s="23"/>
      <c r="F92" s="32" t="s">
        <v>75</v>
      </c>
      <c r="G92" s="37"/>
      <c r="H92" s="29" t="s">
        <v>175</v>
      </c>
      <c r="I92" s="26"/>
      <c r="J92" s="23"/>
      <c r="K92" s="23"/>
      <c r="L92" s="23"/>
      <c r="M92" s="23"/>
      <c r="N92" s="23"/>
      <c r="O92" s="16"/>
      <c r="P92" s="23"/>
      <c r="Q92" s="37"/>
      <c r="R92" s="32" t="s">
        <v>28</v>
      </c>
      <c r="S92" s="37"/>
      <c r="T92" s="74" t="s">
        <v>176</v>
      </c>
      <c r="U92" s="26"/>
      <c r="V92" s="23"/>
      <c r="W92" s="23"/>
      <c r="X92" s="23"/>
      <c r="Y92" s="23"/>
      <c r="Z92" s="23"/>
      <c r="AA92" s="16"/>
      <c r="AB92" s="23"/>
      <c r="AC92" s="37"/>
      <c r="AD92" s="32"/>
      <c r="AE92" s="28"/>
      <c r="AF92" s="66"/>
      <c r="AG92" s="26"/>
      <c r="AH92" s="23"/>
      <c r="AI92" s="23"/>
      <c r="AJ92" s="23"/>
      <c r="AK92" s="23"/>
      <c r="AL92" s="23"/>
      <c r="AM92" s="16"/>
    </row>
    <row r="93" spans="1:39" ht="17.25" customHeight="1" x14ac:dyDescent="0.2">
      <c r="A93" s="50">
        <v>46105</v>
      </c>
      <c r="B93" s="84" t="s">
        <v>177</v>
      </c>
      <c r="C93" s="22"/>
      <c r="D93" s="4" t="s">
        <v>27</v>
      </c>
      <c r="E93" s="23"/>
      <c r="F93" s="32"/>
      <c r="G93" s="37"/>
      <c r="H93" s="29"/>
      <c r="I93" s="26"/>
      <c r="J93" s="23"/>
      <c r="K93" s="23"/>
      <c r="L93" s="23"/>
      <c r="M93" s="23"/>
      <c r="N93" s="23"/>
      <c r="O93" s="16"/>
      <c r="P93" s="23"/>
      <c r="Q93" s="37"/>
      <c r="R93" s="32" t="s">
        <v>39</v>
      </c>
      <c r="S93" s="37"/>
      <c r="T93" s="69" t="s">
        <v>178</v>
      </c>
      <c r="U93" s="26"/>
      <c r="V93" s="23"/>
      <c r="W93" s="23"/>
      <c r="X93" s="23"/>
      <c r="Y93" s="23"/>
      <c r="Z93" s="23"/>
      <c r="AA93" s="16"/>
      <c r="AB93" s="23"/>
      <c r="AC93" s="37"/>
      <c r="AD93" s="32"/>
      <c r="AE93" s="28"/>
      <c r="AF93" s="59"/>
      <c r="AG93" s="26"/>
      <c r="AH93" s="23"/>
      <c r="AI93" s="23"/>
      <c r="AJ93" s="23"/>
      <c r="AK93" s="23"/>
      <c r="AL93" s="23"/>
      <c r="AM93" s="16"/>
    </row>
    <row r="94" spans="1:39" ht="17.25" customHeight="1" x14ac:dyDescent="0.2">
      <c r="A94" s="50">
        <v>46106</v>
      </c>
      <c r="B94" s="84"/>
      <c r="C94" s="22"/>
      <c r="D94" s="4" t="s">
        <v>31</v>
      </c>
      <c r="E94" s="23" t="s">
        <v>157</v>
      </c>
      <c r="F94" s="32" t="s">
        <v>53</v>
      </c>
      <c r="G94" s="37"/>
      <c r="H94" s="86" t="s">
        <v>179</v>
      </c>
      <c r="I94" s="26"/>
      <c r="J94" s="23"/>
      <c r="K94" s="23"/>
      <c r="L94" s="23"/>
      <c r="M94" s="23"/>
      <c r="N94" s="23"/>
      <c r="O94" s="16"/>
      <c r="P94" s="23"/>
      <c r="Q94" s="37"/>
      <c r="R94" s="32"/>
      <c r="S94" s="28"/>
      <c r="T94" s="74"/>
      <c r="U94" s="26"/>
      <c r="V94" s="23"/>
      <c r="W94" s="23"/>
      <c r="X94" s="23"/>
      <c r="Y94" s="23"/>
      <c r="Z94" s="23"/>
      <c r="AA94" s="16"/>
      <c r="AB94" s="23"/>
      <c r="AC94" s="37"/>
      <c r="AD94" s="32"/>
      <c r="AE94" s="58"/>
      <c r="AF94" s="30"/>
      <c r="AG94" s="26"/>
      <c r="AH94" s="23"/>
      <c r="AI94" s="23"/>
      <c r="AJ94" s="23"/>
      <c r="AK94" s="23"/>
      <c r="AL94" s="23"/>
      <c r="AM94" s="16"/>
    </row>
    <row r="95" spans="1:39" ht="17.25" customHeight="1" x14ac:dyDescent="0.2">
      <c r="A95" s="50">
        <v>46107</v>
      </c>
      <c r="B95" s="84"/>
      <c r="C95" s="22">
        <v>13</v>
      </c>
      <c r="D95" s="4" t="s">
        <v>33</v>
      </c>
      <c r="E95" s="23"/>
      <c r="F95" s="32"/>
      <c r="G95" s="28"/>
      <c r="H95" s="30"/>
      <c r="I95" s="26"/>
      <c r="J95" s="23"/>
      <c r="K95" s="23"/>
      <c r="L95" s="23"/>
      <c r="M95" s="23"/>
      <c r="N95" s="23"/>
      <c r="O95" s="16"/>
      <c r="P95" s="23"/>
      <c r="Q95" s="28"/>
      <c r="R95" s="32"/>
      <c r="S95" s="29"/>
      <c r="T95" s="74"/>
      <c r="U95" s="26"/>
      <c r="V95" s="23"/>
      <c r="W95" s="23"/>
      <c r="X95" s="23"/>
      <c r="Y95" s="23"/>
      <c r="Z95" s="23"/>
      <c r="AA95" s="16"/>
      <c r="AB95" s="23"/>
      <c r="AC95" s="28"/>
      <c r="AD95" s="32"/>
      <c r="AE95" s="28"/>
      <c r="AF95" s="29"/>
      <c r="AG95" s="26"/>
      <c r="AH95" s="23"/>
      <c r="AI95" s="23"/>
      <c r="AJ95" s="23"/>
      <c r="AK95" s="23"/>
      <c r="AL95" s="23"/>
      <c r="AM95" s="16"/>
    </row>
    <row r="96" spans="1:39" ht="17.25" customHeight="1" x14ac:dyDescent="0.2">
      <c r="A96" s="50">
        <v>46108</v>
      </c>
      <c r="B96" s="84"/>
      <c r="C96" s="22"/>
      <c r="D96" s="4" t="s">
        <v>35</v>
      </c>
      <c r="E96" s="23"/>
      <c r="F96" s="32"/>
      <c r="G96" s="26"/>
      <c r="H96" s="26"/>
      <c r="I96" s="26"/>
      <c r="J96" s="23"/>
      <c r="K96" s="23"/>
      <c r="L96" s="23"/>
      <c r="M96" s="23"/>
      <c r="N96" s="23"/>
      <c r="O96" s="16"/>
      <c r="P96" s="23"/>
      <c r="Q96" s="28"/>
      <c r="R96" s="32"/>
      <c r="S96" s="37"/>
      <c r="T96" s="65"/>
      <c r="U96" s="26"/>
      <c r="V96" s="23"/>
      <c r="W96" s="23"/>
      <c r="X96" s="23"/>
      <c r="Y96" s="23"/>
      <c r="Z96" s="23"/>
      <c r="AA96" s="16"/>
      <c r="AB96" s="23"/>
      <c r="AC96" s="28"/>
      <c r="AD96" s="32"/>
      <c r="AE96" s="28"/>
      <c r="AF96" s="29"/>
      <c r="AG96" s="26"/>
      <c r="AH96" s="23"/>
      <c r="AI96" s="23"/>
      <c r="AJ96" s="23"/>
      <c r="AK96" s="23"/>
      <c r="AL96" s="23"/>
      <c r="AM96" s="16"/>
    </row>
    <row r="97" spans="1:39" ht="17.25" customHeight="1" x14ac:dyDescent="0.2">
      <c r="A97" s="50">
        <v>46109</v>
      </c>
      <c r="B97" s="84"/>
      <c r="C97" s="22"/>
      <c r="D97" s="4" t="s">
        <v>36</v>
      </c>
      <c r="E97" s="23"/>
      <c r="F97" s="32"/>
      <c r="G97" s="26"/>
      <c r="H97" s="26"/>
      <c r="I97" s="26"/>
      <c r="J97" s="23"/>
      <c r="K97" s="23"/>
      <c r="L97" s="23"/>
      <c r="M97" s="23"/>
      <c r="N97" s="23"/>
      <c r="O97" s="16"/>
      <c r="P97" s="23"/>
      <c r="Q97" s="28"/>
      <c r="R97" s="32"/>
      <c r="S97" s="28"/>
      <c r="T97" s="74"/>
      <c r="U97" s="26"/>
      <c r="V97" s="23"/>
      <c r="W97" s="23"/>
      <c r="X97" s="23"/>
      <c r="Y97" s="23"/>
      <c r="Z97" s="23"/>
      <c r="AA97" s="16"/>
      <c r="AB97" s="23"/>
      <c r="AC97" s="28"/>
      <c r="AD97" s="32"/>
      <c r="AE97" s="28"/>
      <c r="AF97" s="29"/>
      <c r="AG97" s="26"/>
      <c r="AH97" s="23"/>
      <c r="AI97" s="23"/>
      <c r="AJ97" s="23"/>
      <c r="AK97" s="23"/>
      <c r="AL97" s="23"/>
      <c r="AM97" s="16"/>
    </row>
    <row r="98" spans="1:39" ht="17.25" customHeight="1" x14ac:dyDescent="0.2">
      <c r="A98" s="50">
        <v>46110</v>
      </c>
      <c r="B98" s="87"/>
      <c r="C98" s="22"/>
      <c r="D98" s="4" t="s">
        <v>37</v>
      </c>
      <c r="E98" s="23"/>
      <c r="F98" s="32"/>
      <c r="G98" s="28"/>
      <c r="H98" s="29"/>
      <c r="I98" s="26"/>
      <c r="J98" s="23"/>
      <c r="K98" s="23"/>
      <c r="L98" s="23"/>
      <c r="M98" s="23"/>
      <c r="N98" s="23"/>
      <c r="O98" s="16"/>
      <c r="P98" s="23"/>
      <c r="Q98" s="28"/>
      <c r="R98" s="32"/>
      <c r="S98" s="28"/>
      <c r="T98" s="65"/>
      <c r="U98" s="26"/>
      <c r="V98" s="23"/>
      <c r="W98" s="23"/>
      <c r="X98" s="23"/>
      <c r="Y98" s="23"/>
      <c r="Z98" s="23"/>
      <c r="AA98" s="16"/>
      <c r="AB98" s="23"/>
      <c r="AC98" s="28"/>
      <c r="AD98" s="32"/>
      <c r="AE98" s="28"/>
      <c r="AF98" s="29"/>
      <c r="AG98" s="26"/>
      <c r="AH98" s="23"/>
      <c r="AI98" s="23"/>
      <c r="AJ98" s="23"/>
      <c r="AK98" s="23"/>
      <c r="AL98" s="23"/>
      <c r="AM98" s="16"/>
    </row>
    <row r="99" spans="1:39" ht="17.25" customHeight="1" x14ac:dyDescent="0.2">
      <c r="A99" s="48"/>
      <c r="B99" s="84"/>
      <c r="C99" s="77"/>
      <c r="D99" s="15"/>
      <c r="E99" s="14"/>
      <c r="F99" s="15"/>
      <c r="G99" s="16"/>
      <c r="H99" s="15"/>
      <c r="I99" s="17"/>
      <c r="J99" s="17"/>
      <c r="K99" s="17"/>
      <c r="L99" s="17"/>
      <c r="M99" s="17"/>
      <c r="N99" s="17"/>
      <c r="O99" s="15"/>
      <c r="P99" s="14"/>
      <c r="Q99" s="16"/>
      <c r="R99" s="15"/>
      <c r="S99" s="16"/>
      <c r="T99" s="15"/>
      <c r="U99" s="17"/>
      <c r="V99" s="17"/>
      <c r="W99" s="17"/>
      <c r="X99" s="17"/>
      <c r="Y99" s="17"/>
      <c r="Z99" s="17"/>
      <c r="AA99" s="15"/>
      <c r="AB99" s="14"/>
      <c r="AC99" s="16"/>
      <c r="AD99" s="15"/>
      <c r="AE99" s="16"/>
      <c r="AF99" s="15"/>
      <c r="AG99" s="17"/>
      <c r="AH99" s="17"/>
      <c r="AI99" s="17"/>
      <c r="AJ99" s="17"/>
      <c r="AK99" s="17"/>
      <c r="AL99" s="17"/>
      <c r="AM99" s="15"/>
    </row>
    <row r="100" spans="1:39" ht="17.25" customHeight="1" x14ac:dyDescent="0.2">
      <c r="A100" s="50">
        <v>46111</v>
      </c>
      <c r="B100" s="84"/>
      <c r="C100" s="22"/>
      <c r="D100" s="4" t="s">
        <v>19</v>
      </c>
      <c r="E100" s="23"/>
      <c r="F100" s="32" t="s">
        <v>75</v>
      </c>
      <c r="G100" s="28"/>
      <c r="H100" s="29" t="s">
        <v>180</v>
      </c>
      <c r="I100" s="44"/>
      <c r="J100" s="23"/>
      <c r="K100" s="23"/>
      <c r="L100" s="23"/>
      <c r="M100" s="23"/>
      <c r="N100" s="23"/>
      <c r="O100" s="16"/>
      <c r="P100" s="23"/>
      <c r="Q100" s="28"/>
      <c r="R100" s="32"/>
      <c r="S100" s="37"/>
      <c r="T100" s="74"/>
      <c r="U100" s="26"/>
      <c r="V100" s="23"/>
      <c r="W100" s="23"/>
      <c r="X100" s="23"/>
      <c r="Y100" s="23"/>
      <c r="Z100" s="23"/>
      <c r="AA100" s="16"/>
      <c r="AB100" s="23"/>
      <c r="AC100" s="28"/>
      <c r="AD100" s="32"/>
      <c r="AE100" s="28"/>
      <c r="AF100" s="29"/>
      <c r="AG100" s="26"/>
      <c r="AH100" s="23"/>
      <c r="AI100" s="23"/>
      <c r="AJ100" s="23"/>
      <c r="AK100" s="23"/>
      <c r="AL100" s="23"/>
      <c r="AM100" s="16"/>
    </row>
    <row r="101" spans="1:39" ht="17.25" customHeight="1" x14ac:dyDescent="0.2">
      <c r="A101" s="50">
        <v>46112</v>
      </c>
      <c r="B101" s="84"/>
      <c r="C101" s="22"/>
      <c r="D101" s="4" t="s">
        <v>27</v>
      </c>
      <c r="E101" s="23" t="s">
        <v>157</v>
      </c>
      <c r="F101" s="32" t="s">
        <v>21</v>
      </c>
      <c r="G101" s="28"/>
      <c r="H101" s="45" t="s">
        <v>181</v>
      </c>
      <c r="I101" s="44"/>
      <c r="J101" s="23"/>
      <c r="K101" s="23"/>
      <c r="L101" s="23"/>
      <c r="M101" s="23"/>
      <c r="N101" s="23"/>
      <c r="O101" s="16"/>
      <c r="P101" s="23"/>
      <c r="Q101" s="28"/>
      <c r="R101" s="32"/>
      <c r="S101" s="28"/>
      <c r="T101" s="88"/>
      <c r="U101" s="26"/>
      <c r="V101" s="23"/>
      <c r="W101" s="23"/>
      <c r="X101" s="23"/>
      <c r="Y101" s="23"/>
      <c r="Z101" s="23"/>
      <c r="AA101" s="16"/>
      <c r="AB101" s="23"/>
      <c r="AC101" s="28"/>
      <c r="AD101" s="32"/>
      <c r="AE101" s="28"/>
      <c r="AF101" s="29"/>
      <c r="AG101" s="26"/>
      <c r="AH101" s="23"/>
      <c r="AI101" s="23"/>
      <c r="AJ101" s="23"/>
      <c r="AK101" s="23"/>
      <c r="AL101" s="23"/>
      <c r="AM101" s="16"/>
    </row>
    <row r="102" spans="1:39" ht="17.25" customHeight="1" x14ac:dyDescent="0.2">
      <c r="A102" s="50">
        <v>46113</v>
      </c>
      <c r="B102" s="84" t="s">
        <v>182</v>
      </c>
      <c r="C102" s="22"/>
      <c r="D102" s="4" t="s">
        <v>31</v>
      </c>
      <c r="E102" s="23"/>
      <c r="F102" s="32"/>
      <c r="G102" s="89"/>
      <c r="H102" s="30"/>
      <c r="I102" s="26"/>
      <c r="J102" s="23"/>
      <c r="K102" s="23"/>
      <c r="L102" s="23"/>
      <c r="M102" s="23"/>
      <c r="N102" s="23"/>
      <c r="O102" s="16"/>
      <c r="P102" s="23"/>
      <c r="Q102" s="89"/>
      <c r="R102" s="32"/>
      <c r="S102" s="28"/>
      <c r="T102" s="74"/>
      <c r="U102" s="26"/>
      <c r="V102" s="23"/>
      <c r="W102" s="23"/>
      <c r="X102" s="23"/>
      <c r="Y102" s="23"/>
      <c r="Z102" s="23"/>
      <c r="AA102" s="16"/>
      <c r="AB102" s="23"/>
      <c r="AC102" s="89"/>
      <c r="AD102" s="32"/>
      <c r="AE102" s="58"/>
      <c r="AF102" s="90"/>
      <c r="AG102" s="44"/>
      <c r="AH102" s="23"/>
      <c r="AI102" s="23"/>
      <c r="AJ102" s="23"/>
      <c r="AK102" s="23"/>
      <c r="AL102" s="23"/>
      <c r="AM102" s="16"/>
    </row>
    <row r="103" spans="1:39" ht="17.25" customHeight="1" x14ac:dyDescent="0.2">
      <c r="A103" s="50">
        <v>46114</v>
      </c>
      <c r="B103" s="91"/>
      <c r="C103" s="22">
        <v>14</v>
      </c>
      <c r="D103" s="4" t="s">
        <v>33</v>
      </c>
      <c r="E103" s="23"/>
      <c r="F103" s="32"/>
      <c r="G103" s="28"/>
      <c r="H103" s="30"/>
      <c r="I103" s="44"/>
      <c r="J103" s="23"/>
      <c r="K103" s="23"/>
      <c r="L103" s="23"/>
      <c r="M103" s="23"/>
      <c r="N103" s="23"/>
      <c r="O103" s="16"/>
      <c r="P103" s="23"/>
      <c r="Q103" s="37"/>
      <c r="R103" s="32"/>
      <c r="S103" s="28"/>
      <c r="T103" s="74"/>
      <c r="U103" s="26"/>
      <c r="V103" s="23"/>
      <c r="W103" s="23"/>
      <c r="X103" s="23"/>
      <c r="Y103" s="23"/>
      <c r="Z103" s="23"/>
      <c r="AA103" s="16"/>
      <c r="AB103" s="26"/>
      <c r="AC103" s="26"/>
      <c r="AD103" s="32"/>
      <c r="AE103" s="26"/>
      <c r="AF103" s="26"/>
      <c r="AG103" s="26"/>
      <c r="AH103" s="23"/>
      <c r="AI103" s="23"/>
      <c r="AJ103" s="23"/>
      <c r="AK103" s="23"/>
      <c r="AL103" s="23"/>
      <c r="AM103" s="16"/>
    </row>
    <row r="104" spans="1:39" ht="17.25" customHeight="1" x14ac:dyDescent="0.2">
      <c r="A104" s="50">
        <v>46115</v>
      </c>
      <c r="B104" s="84"/>
      <c r="C104" s="22"/>
      <c r="D104" s="4" t="s">
        <v>35</v>
      </c>
      <c r="E104" s="23"/>
      <c r="F104" s="32"/>
      <c r="G104" s="37"/>
      <c r="H104" s="30"/>
      <c r="I104" s="26"/>
      <c r="J104" s="23"/>
      <c r="K104" s="23"/>
      <c r="L104" s="23"/>
      <c r="M104" s="23"/>
      <c r="N104" s="23"/>
      <c r="O104" s="16"/>
      <c r="P104" s="23"/>
      <c r="Q104" s="37"/>
      <c r="R104" s="32"/>
      <c r="S104" s="28"/>
      <c r="T104" s="65"/>
      <c r="U104" s="26"/>
      <c r="V104" s="23"/>
      <c r="W104" s="23"/>
      <c r="X104" s="23"/>
      <c r="Y104" s="23"/>
      <c r="Z104" s="23"/>
      <c r="AA104" s="16"/>
      <c r="AB104" s="23"/>
      <c r="AC104" s="37"/>
      <c r="AD104" s="32"/>
      <c r="AE104" s="28"/>
      <c r="AF104" s="29"/>
      <c r="AG104" s="26"/>
      <c r="AH104" s="23"/>
      <c r="AI104" s="23"/>
      <c r="AJ104" s="23"/>
      <c r="AK104" s="23"/>
      <c r="AL104" s="23"/>
      <c r="AM104" s="16"/>
    </row>
    <row r="105" spans="1:39" ht="17.25" customHeight="1" x14ac:dyDescent="0.2">
      <c r="A105" s="50">
        <v>46116</v>
      </c>
      <c r="B105" s="84"/>
      <c r="C105" s="22"/>
      <c r="D105" s="4" t="s">
        <v>36</v>
      </c>
      <c r="E105" s="23"/>
      <c r="F105" s="32"/>
      <c r="G105" s="28"/>
      <c r="H105" s="43"/>
      <c r="I105" s="26"/>
      <c r="J105" s="23"/>
      <c r="K105" s="23"/>
      <c r="L105" s="23"/>
      <c r="M105" s="23"/>
      <c r="N105" s="23"/>
      <c r="O105" s="16"/>
      <c r="P105" s="23"/>
      <c r="Q105" s="28"/>
      <c r="R105" s="32"/>
      <c r="S105" s="28"/>
      <c r="T105" s="74"/>
      <c r="U105" s="26"/>
      <c r="V105" s="23"/>
      <c r="W105" s="23"/>
      <c r="X105" s="23"/>
      <c r="Y105" s="23"/>
      <c r="Z105" s="23"/>
      <c r="AA105" s="16"/>
      <c r="AB105" s="23"/>
      <c r="AC105" s="28"/>
      <c r="AD105" s="32"/>
      <c r="AE105" s="28"/>
      <c r="AF105" s="29"/>
      <c r="AG105" s="26"/>
      <c r="AH105" s="23"/>
      <c r="AI105" s="23"/>
      <c r="AJ105" s="23"/>
      <c r="AK105" s="23"/>
      <c r="AL105" s="23"/>
    </row>
    <row r="106" spans="1:39" ht="17.25" customHeight="1" x14ac:dyDescent="0.2">
      <c r="A106" s="50">
        <v>46117</v>
      </c>
      <c r="B106" s="92"/>
      <c r="C106" s="22"/>
      <c r="D106" s="4" t="s">
        <v>37</v>
      </c>
      <c r="E106" s="23"/>
      <c r="F106" s="32"/>
      <c r="G106" s="37"/>
      <c r="H106" s="29"/>
      <c r="I106" s="26"/>
      <c r="J106" s="23"/>
      <c r="K106" s="23"/>
      <c r="L106" s="23"/>
      <c r="M106" s="23"/>
      <c r="N106" s="23"/>
      <c r="O106" s="16"/>
      <c r="P106" s="23"/>
      <c r="Q106" s="28"/>
      <c r="R106" s="32"/>
      <c r="S106" s="28"/>
      <c r="T106" s="65"/>
      <c r="U106" s="26"/>
      <c r="V106" s="23"/>
      <c r="W106" s="23"/>
      <c r="X106" s="23"/>
      <c r="Y106" s="23"/>
      <c r="Z106" s="23"/>
      <c r="AA106" s="16"/>
      <c r="AB106" s="23"/>
      <c r="AC106" s="28"/>
      <c r="AD106" s="32"/>
      <c r="AE106" s="28"/>
      <c r="AF106" s="29"/>
      <c r="AG106" s="26"/>
      <c r="AH106" s="23"/>
      <c r="AI106" s="23"/>
      <c r="AJ106" s="23"/>
      <c r="AK106" s="23"/>
      <c r="AL106" s="23"/>
    </row>
    <row r="107" spans="1:39" ht="17.25" customHeight="1" x14ac:dyDescent="0.2">
      <c r="A107" s="48"/>
      <c r="B107" s="84"/>
      <c r="C107" s="77"/>
      <c r="D107" s="15"/>
      <c r="E107" s="14"/>
      <c r="F107" s="15"/>
      <c r="G107" s="16"/>
      <c r="H107" s="15"/>
      <c r="I107" s="17"/>
      <c r="J107" s="17"/>
      <c r="K107" s="17"/>
      <c r="L107" s="17"/>
      <c r="M107" s="17"/>
      <c r="N107" s="17"/>
      <c r="O107" s="15"/>
      <c r="P107" s="14"/>
      <c r="Q107" s="16"/>
      <c r="R107" s="15"/>
      <c r="S107" s="16"/>
      <c r="T107" s="15"/>
      <c r="U107" s="17"/>
      <c r="V107" s="17"/>
      <c r="W107" s="17"/>
      <c r="X107" s="17"/>
      <c r="Y107" s="17"/>
      <c r="Z107" s="17"/>
      <c r="AA107" s="15"/>
      <c r="AB107" s="14"/>
      <c r="AC107" s="16"/>
      <c r="AD107" s="15"/>
      <c r="AE107" s="16"/>
      <c r="AF107" s="15"/>
      <c r="AG107" s="17"/>
      <c r="AH107" s="17"/>
      <c r="AI107" s="17"/>
      <c r="AJ107" s="17"/>
      <c r="AK107" s="17"/>
      <c r="AL107" s="17"/>
      <c r="AM107" s="15"/>
    </row>
    <row r="108" spans="1:39" ht="17.25" customHeight="1" x14ac:dyDescent="0.2">
      <c r="A108" s="50">
        <v>46118</v>
      </c>
      <c r="B108" s="84"/>
      <c r="C108" s="22"/>
      <c r="D108" s="4" t="s">
        <v>19</v>
      </c>
      <c r="E108" s="23"/>
      <c r="F108" s="32" t="s">
        <v>75</v>
      </c>
      <c r="G108" s="28"/>
      <c r="H108" s="29" t="s">
        <v>183</v>
      </c>
      <c r="I108" s="26"/>
      <c r="J108" s="23"/>
      <c r="K108" s="23"/>
      <c r="L108" s="23"/>
      <c r="M108" s="23"/>
      <c r="N108" s="23"/>
      <c r="O108" s="16"/>
      <c r="P108" s="23"/>
      <c r="Q108" s="28"/>
      <c r="R108" s="32"/>
      <c r="S108" s="37"/>
      <c r="T108" s="74"/>
      <c r="U108" s="26"/>
      <c r="V108" s="23"/>
      <c r="W108" s="23"/>
      <c r="X108" s="23"/>
      <c r="Y108" s="23"/>
      <c r="Z108" s="23"/>
      <c r="AA108" s="16"/>
      <c r="AB108" s="23"/>
      <c r="AC108" s="29"/>
      <c r="AD108" s="32"/>
      <c r="AE108" s="93"/>
      <c r="AF108" s="30"/>
      <c r="AG108" s="26"/>
      <c r="AH108" s="23"/>
      <c r="AI108" s="23"/>
      <c r="AJ108" s="23"/>
      <c r="AK108" s="23"/>
      <c r="AL108" s="23"/>
    </row>
    <row r="109" spans="1:39" ht="17.25" customHeight="1" x14ac:dyDescent="0.2">
      <c r="A109" s="50">
        <v>46119</v>
      </c>
      <c r="B109" s="84"/>
      <c r="C109" s="22"/>
      <c r="D109" s="4" t="s">
        <v>27</v>
      </c>
      <c r="E109" s="23"/>
      <c r="F109" s="32"/>
      <c r="G109" s="89"/>
      <c r="H109" s="30"/>
      <c r="I109" s="26"/>
      <c r="J109" s="23"/>
      <c r="K109" s="23"/>
      <c r="L109" s="23"/>
      <c r="M109" s="23"/>
      <c r="N109" s="23"/>
      <c r="O109" s="16"/>
      <c r="P109" s="23"/>
      <c r="Q109" s="28"/>
      <c r="R109" s="32"/>
      <c r="S109" s="37"/>
      <c r="T109" s="88"/>
      <c r="U109" s="26"/>
      <c r="V109" s="23"/>
      <c r="W109" s="23"/>
      <c r="X109" s="23"/>
      <c r="Y109" s="23"/>
      <c r="Z109" s="23"/>
      <c r="AA109" s="16"/>
      <c r="AB109" s="23"/>
      <c r="AC109" s="28"/>
      <c r="AD109" s="32"/>
      <c r="AE109" s="37"/>
      <c r="AF109" s="29"/>
      <c r="AG109" s="26"/>
      <c r="AH109" s="23"/>
      <c r="AI109" s="23"/>
      <c r="AJ109" s="23"/>
      <c r="AK109" s="23"/>
      <c r="AL109" s="23"/>
    </row>
    <row r="110" spans="1:39" ht="17.25" customHeight="1" x14ac:dyDescent="0.2">
      <c r="A110" s="50">
        <v>46120</v>
      </c>
      <c r="B110" s="84"/>
      <c r="C110" s="22"/>
      <c r="D110" s="4" t="s">
        <v>31</v>
      </c>
      <c r="E110" s="23"/>
      <c r="F110" s="32"/>
      <c r="G110" s="28"/>
      <c r="H110" s="30"/>
      <c r="I110" s="26"/>
      <c r="J110" s="23"/>
      <c r="K110" s="23"/>
      <c r="L110" s="23"/>
      <c r="M110" s="23"/>
      <c r="N110" s="23"/>
      <c r="O110" s="16"/>
      <c r="P110" s="23"/>
      <c r="Q110" s="37"/>
      <c r="R110" s="32"/>
      <c r="S110" s="58"/>
      <c r="T110" s="74"/>
      <c r="U110" s="26"/>
      <c r="V110" s="23"/>
      <c r="W110" s="23"/>
      <c r="X110" s="23"/>
      <c r="Y110" s="23"/>
      <c r="Z110" s="23"/>
      <c r="AA110" s="16"/>
      <c r="AB110" s="23"/>
      <c r="AC110" s="37"/>
      <c r="AD110" s="32"/>
      <c r="AE110" s="28"/>
      <c r="AF110" s="66"/>
      <c r="AG110" s="26"/>
      <c r="AH110" s="23"/>
      <c r="AI110" s="23"/>
      <c r="AJ110" s="23"/>
      <c r="AK110" s="23"/>
      <c r="AL110" s="23"/>
    </row>
    <row r="111" spans="1:39" ht="17.25" customHeight="1" x14ac:dyDescent="0.2">
      <c r="A111" s="50">
        <v>46121</v>
      </c>
      <c r="B111" s="84"/>
      <c r="C111" s="22">
        <v>15</v>
      </c>
      <c r="D111" s="4" t="s">
        <v>33</v>
      </c>
      <c r="E111" s="23"/>
      <c r="F111" s="32"/>
      <c r="G111" s="28"/>
      <c r="H111" s="94"/>
      <c r="I111" s="26"/>
      <c r="J111" s="23"/>
      <c r="K111" s="23"/>
      <c r="L111" s="23"/>
      <c r="M111" s="23"/>
      <c r="N111" s="23"/>
      <c r="O111" s="16"/>
      <c r="P111" s="23"/>
      <c r="Q111" s="37"/>
      <c r="R111" s="32"/>
      <c r="S111" s="37"/>
      <c r="T111" s="74"/>
      <c r="U111" s="26"/>
      <c r="V111" s="23"/>
      <c r="W111" s="23"/>
      <c r="X111" s="23"/>
      <c r="Y111" s="23"/>
      <c r="Z111" s="23"/>
      <c r="AA111" s="16"/>
      <c r="AB111" s="23"/>
      <c r="AC111" s="37"/>
      <c r="AD111" s="32"/>
      <c r="AE111" s="37"/>
      <c r="AF111" s="29"/>
      <c r="AG111" s="26"/>
      <c r="AH111" s="23"/>
      <c r="AI111" s="23"/>
      <c r="AJ111" s="23"/>
      <c r="AK111" s="23"/>
      <c r="AL111" s="23"/>
    </row>
    <row r="112" spans="1:39" ht="17.25" customHeight="1" x14ac:dyDescent="0.2">
      <c r="A112" s="50">
        <v>46122</v>
      </c>
      <c r="B112" s="84"/>
      <c r="C112" s="22"/>
      <c r="D112" s="4" t="s">
        <v>35</v>
      </c>
      <c r="E112" s="23"/>
      <c r="F112" s="32"/>
      <c r="G112" s="28"/>
      <c r="H112" s="30"/>
      <c r="I112" s="26"/>
      <c r="J112" s="23"/>
      <c r="K112" s="23"/>
      <c r="L112" s="23"/>
      <c r="M112" s="23"/>
      <c r="N112" s="23"/>
      <c r="O112" s="16"/>
      <c r="P112" s="23"/>
      <c r="Q112" s="28"/>
      <c r="R112" s="32"/>
      <c r="S112" s="28"/>
      <c r="T112" s="65"/>
      <c r="U112" s="26"/>
      <c r="V112" s="23"/>
      <c r="W112" s="23"/>
      <c r="X112" s="23"/>
      <c r="Y112" s="23"/>
      <c r="Z112" s="23"/>
      <c r="AA112" s="16"/>
      <c r="AB112" s="23"/>
      <c r="AC112" s="28"/>
      <c r="AD112" s="32"/>
      <c r="AE112" s="37"/>
      <c r="AF112" s="29"/>
      <c r="AG112" s="26"/>
      <c r="AH112" s="23"/>
      <c r="AI112" s="23"/>
      <c r="AJ112" s="23"/>
      <c r="AK112" s="23"/>
      <c r="AL112" s="23"/>
    </row>
    <row r="113" spans="1:39" ht="17.25" customHeight="1" x14ac:dyDescent="0.2">
      <c r="A113" s="50">
        <v>46123</v>
      </c>
      <c r="B113" s="84"/>
      <c r="C113" s="22"/>
      <c r="D113" s="4" t="s">
        <v>36</v>
      </c>
      <c r="E113" s="23"/>
      <c r="F113" s="32"/>
      <c r="G113" s="28"/>
      <c r="H113" s="95"/>
      <c r="I113" s="26"/>
      <c r="J113" s="23"/>
      <c r="K113" s="23"/>
      <c r="L113" s="23"/>
      <c r="M113" s="23"/>
      <c r="N113" s="23"/>
      <c r="O113" s="16"/>
      <c r="P113" s="23"/>
      <c r="Q113" s="28"/>
      <c r="R113" s="32"/>
      <c r="S113" s="58"/>
      <c r="T113" s="74"/>
      <c r="U113" s="26"/>
      <c r="V113" s="23"/>
      <c r="W113" s="23"/>
      <c r="X113" s="23"/>
      <c r="Y113" s="23"/>
      <c r="Z113" s="23"/>
      <c r="AA113" s="16"/>
      <c r="AB113" s="23"/>
      <c r="AC113" s="28"/>
      <c r="AD113" s="32"/>
      <c r="AE113" s="28"/>
      <c r="AF113" s="29"/>
      <c r="AG113" s="26"/>
      <c r="AH113" s="23"/>
      <c r="AI113" s="23"/>
      <c r="AJ113" s="23"/>
      <c r="AK113" s="23"/>
      <c r="AL113" s="23"/>
    </row>
    <row r="114" spans="1:39" ht="17.25" customHeight="1" x14ac:dyDescent="0.2">
      <c r="A114" s="50">
        <v>46124</v>
      </c>
      <c r="B114" s="84"/>
      <c r="C114" s="22"/>
      <c r="D114" s="4" t="s">
        <v>37</v>
      </c>
      <c r="E114" s="23"/>
      <c r="F114" s="32"/>
      <c r="G114" s="28"/>
      <c r="H114" s="29"/>
      <c r="I114" s="26"/>
      <c r="J114" s="23"/>
      <c r="K114" s="23"/>
      <c r="L114" s="23"/>
      <c r="M114" s="23"/>
      <c r="N114" s="23"/>
      <c r="O114" s="16"/>
      <c r="P114" s="23"/>
      <c r="Q114" s="28"/>
      <c r="R114" s="32"/>
      <c r="S114" s="58"/>
      <c r="T114" s="65"/>
      <c r="U114" s="26"/>
      <c r="V114" s="23"/>
      <c r="W114" s="23"/>
      <c r="X114" s="23"/>
      <c r="Y114" s="23"/>
      <c r="Z114" s="23"/>
      <c r="AA114" s="16"/>
      <c r="AB114" s="23"/>
      <c r="AC114" s="28"/>
      <c r="AD114" s="32"/>
      <c r="AE114" s="28"/>
      <c r="AF114" s="29"/>
      <c r="AG114" s="26"/>
      <c r="AH114" s="23"/>
      <c r="AI114" s="23"/>
      <c r="AJ114" s="23"/>
      <c r="AK114" s="23"/>
      <c r="AL114" s="23"/>
    </row>
    <row r="115" spans="1:39" ht="17.25" customHeight="1" x14ac:dyDescent="0.2">
      <c r="A115" s="48"/>
      <c r="B115" s="84"/>
      <c r="C115" s="77"/>
      <c r="D115" s="15"/>
      <c r="E115" s="14"/>
      <c r="F115" s="15"/>
      <c r="G115" s="16"/>
      <c r="H115" s="15"/>
      <c r="I115" s="17"/>
      <c r="J115" s="17"/>
      <c r="K115" s="17"/>
      <c r="L115" s="17"/>
      <c r="M115" s="17"/>
      <c r="N115" s="17"/>
      <c r="O115" s="15"/>
      <c r="P115" s="14"/>
      <c r="Q115" s="16"/>
      <c r="R115" s="15"/>
      <c r="S115" s="16"/>
      <c r="T115" s="15"/>
      <c r="U115" s="17"/>
      <c r="V115" s="17"/>
      <c r="W115" s="17"/>
      <c r="X115" s="17"/>
      <c r="Y115" s="17"/>
      <c r="Z115" s="17"/>
      <c r="AA115" s="15"/>
      <c r="AB115" s="14"/>
      <c r="AC115" s="16"/>
      <c r="AD115" s="15"/>
      <c r="AE115" s="16"/>
      <c r="AF115" s="15"/>
      <c r="AG115" s="17"/>
      <c r="AH115" s="17"/>
      <c r="AI115" s="17"/>
      <c r="AJ115" s="17"/>
      <c r="AK115" s="17"/>
      <c r="AL115" s="17"/>
      <c r="AM115" s="15"/>
    </row>
    <row r="116" spans="1:39" ht="17.25" customHeight="1" x14ac:dyDescent="0.2">
      <c r="A116" s="50">
        <v>46125</v>
      </c>
      <c r="B116" s="84"/>
      <c r="C116" s="22"/>
      <c r="D116" s="4" t="s">
        <v>19</v>
      </c>
      <c r="E116" s="23"/>
      <c r="F116" s="32" t="s">
        <v>75</v>
      </c>
      <c r="G116" s="28"/>
      <c r="H116" s="29" t="s">
        <v>184</v>
      </c>
      <c r="I116" s="26"/>
      <c r="J116" s="23"/>
      <c r="K116" s="23"/>
      <c r="L116" s="23"/>
      <c r="M116" s="23"/>
      <c r="N116" s="23"/>
      <c r="O116" s="16"/>
      <c r="P116" s="23"/>
      <c r="Q116" s="28"/>
      <c r="R116" s="32"/>
      <c r="S116" s="37"/>
      <c r="T116" s="74"/>
      <c r="U116" s="26"/>
      <c r="V116" s="23"/>
      <c r="W116" s="23"/>
      <c r="X116" s="23"/>
      <c r="Y116" s="23"/>
      <c r="Z116" s="23"/>
      <c r="AA116" s="16"/>
      <c r="AB116" s="23"/>
      <c r="AC116" s="28"/>
      <c r="AD116" s="32"/>
      <c r="AE116" s="28"/>
      <c r="AF116" s="29"/>
      <c r="AG116" s="26"/>
      <c r="AH116" s="23"/>
      <c r="AI116" s="23"/>
      <c r="AJ116" s="23"/>
      <c r="AK116" s="23"/>
      <c r="AL116" s="23"/>
    </row>
    <row r="117" spans="1:39" ht="17.25" customHeight="1" x14ac:dyDescent="0.2">
      <c r="A117" s="50">
        <v>46126</v>
      </c>
      <c r="B117" s="92" t="s">
        <v>185</v>
      </c>
      <c r="C117" s="22"/>
      <c r="D117" s="4" t="s">
        <v>27</v>
      </c>
      <c r="E117" s="23"/>
      <c r="F117" s="32"/>
      <c r="G117" s="28"/>
      <c r="H117" s="30"/>
      <c r="I117" s="26"/>
      <c r="J117" s="23"/>
      <c r="K117" s="23"/>
      <c r="L117" s="23"/>
      <c r="M117" s="23"/>
      <c r="N117" s="23"/>
      <c r="O117" s="16"/>
      <c r="P117" s="23"/>
      <c r="Q117" s="28"/>
      <c r="R117" s="32"/>
      <c r="S117" s="37"/>
      <c r="T117" s="88"/>
      <c r="U117" s="26"/>
      <c r="V117" s="23"/>
      <c r="W117" s="23"/>
      <c r="X117" s="23"/>
      <c r="Y117" s="23"/>
      <c r="Z117" s="23"/>
      <c r="AA117" s="16"/>
      <c r="AB117" s="23"/>
      <c r="AC117" s="37"/>
      <c r="AD117" s="32"/>
      <c r="AE117" s="37"/>
      <c r="AF117" s="66"/>
      <c r="AG117" s="26"/>
      <c r="AH117" s="23"/>
      <c r="AI117" s="23"/>
      <c r="AJ117" s="23"/>
      <c r="AK117" s="23"/>
      <c r="AL117" s="23"/>
    </row>
    <row r="118" spans="1:39" ht="17.25" customHeight="1" x14ac:dyDescent="0.2">
      <c r="A118" s="50">
        <v>46127</v>
      </c>
      <c r="B118" s="84"/>
      <c r="C118" s="22"/>
      <c r="D118" s="4" t="s">
        <v>31</v>
      </c>
      <c r="E118" s="23"/>
      <c r="F118" s="32"/>
      <c r="G118" s="26"/>
      <c r="H118" s="26"/>
      <c r="I118" s="26"/>
      <c r="J118" s="23"/>
      <c r="K118" s="23"/>
      <c r="L118" s="23"/>
      <c r="M118" s="23"/>
      <c r="N118" s="23"/>
      <c r="O118" s="16"/>
      <c r="P118" s="23"/>
      <c r="Q118" s="37"/>
      <c r="R118" s="32"/>
      <c r="S118" s="89"/>
      <c r="T118" s="74"/>
      <c r="U118" s="26"/>
      <c r="V118" s="23"/>
      <c r="W118" s="23"/>
      <c r="X118" s="23"/>
      <c r="Y118" s="23"/>
      <c r="Z118" s="23"/>
      <c r="AA118" s="16"/>
      <c r="AB118" s="23"/>
      <c r="AC118" s="37"/>
      <c r="AD118" s="32"/>
      <c r="AE118" s="28"/>
      <c r="AF118" s="66"/>
      <c r="AG118" s="26"/>
      <c r="AH118" s="23"/>
      <c r="AI118" s="23"/>
      <c r="AJ118" s="23"/>
      <c r="AK118" s="23"/>
      <c r="AL118" s="23"/>
    </row>
    <row r="119" spans="1:39" ht="17.25" customHeight="1" x14ac:dyDescent="0.2">
      <c r="A119" s="50">
        <v>46128</v>
      </c>
      <c r="B119" s="84"/>
      <c r="C119" s="22">
        <v>16</v>
      </c>
      <c r="D119" s="4" t="s">
        <v>33</v>
      </c>
      <c r="E119" s="23"/>
      <c r="F119" s="32"/>
      <c r="G119" s="28"/>
      <c r="H119" s="46"/>
      <c r="I119" s="26"/>
      <c r="J119" s="23"/>
      <c r="K119" s="23"/>
      <c r="L119" s="23"/>
      <c r="M119" s="23"/>
      <c r="N119" s="23"/>
      <c r="O119" s="16"/>
      <c r="P119" s="23"/>
      <c r="Q119" s="37"/>
      <c r="R119" s="32"/>
      <c r="S119" s="26"/>
      <c r="T119" s="74"/>
      <c r="U119" s="26"/>
      <c r="V119" s="23"/>
      <c r="W119" s="23"/>
      <c r="X119" s="23"/>
      <c r="Y119" s="23"/>
      <c r="Z119" s="23"/>
      <c r="AA119" s="16"/>
      <c r="AB119" s="23"/>
      <c r="AC119" s="37"/>
      <c r="AD119" s="32"/>
      <c r="AE119" s="37"/>
      <c r="AF119" s="29"/>
      <c r="AG119" s="26"/>
      <c r="AH119" s="23"/>
      <c r="AI119" s="23"/>
      <c r="AJ119" s="23"/>
      <c r="AK119" s="23"/>
      <c r="AL119" s="23"/>
    </row>
    <row r="120" spans="1:39" ht="17.25" customHeight="1" x14ac:dyDescent="0.2">
      <c r="A120" s="50">
        <v>46129</v>
      </c>
      <c r="B120" s="91"/>
      <c r="C120" s="22"/>
      <c r="D120" s="4" t="s">
        <v>35</v>
      </c>
      <c r="E120" s="26"/>
      <c r="F120" s="32"/>
      <c r="G120" s="26"/>
      <c r="H120" s="30"/>
      <c r="I120" s="26"/>
      <c r="J120" s="23"/>
      <c r="K120" s="23"/>
      <c r="L120" s="23"/>
      <c r="M120" s="23"/>
      <c r="N120" s="23"/>
      <c r="O120" s="16"/>
      <c r="P120" s="28"/>
      <c r="Q120" s="28"/>
      <c r="R120" s="32"/>
      <c r="S120" s="58"/>
      <c r="T120" s="65"/>
      <c r="U120" s="26"/>
      <c r="V120" s="23"/>
      <c r="W120" s="23"/>
      <c r="X120" s="23"/>
      <c r="Y120" s="23"/>
      <c r="Z120" s="23"/>
      <c r="AA120" s="16"/>
      <c r="AB120" s="26"/>
      <c r="AC120" s="26"/>
      <c r="AD120" s="32"/>
      <c r="AE120" s="26"/>
      <c r="AF120" s="26"/>
      <c r="AG120" s="26"/>
      <c r="AH120" s="23"/>
      <c r="AI120" s="23"/>
      <c r="AJ120" s="23"/>
      <c r="AK120" s="23"/>
      <c r="AL120" s="23"/>
    </row>
    <row r="121" spans="1:39" ht="17.25" customHeight="1" x14ac:dyDescent="0.2">
      <c r="A121" s="50">
        <v>46130</v>
      </c>
      <c r="B121" s="91"/>
      <c r="C121" s="22"/>
      <c r="D121" s="4" t="s">
        <v>36</v>
      </c>
      <c r="E121" s="23"/>
      <c r="F121" s="32"/>
      <c r="G121" s="29"/>
      <c r="H121" s="30"/>
      <c r="I121" s="26"/>
      <c r="J121" s="23"/>
      <c r="K121" s="23"/>
      <c r="L121" s="23"/>
      <c r="M121" s="23"/>
      <c r="N121" s="23"/>
      <c r="O121" s="16"/>
      <c r="P121" s="23"/>
      <c r="Q121" s="28"/>
      <c r="R121" s="32"/>
      <c r="S121" s="28"/>
      <c r="T121" s="74"/>
      <c r="U121" s="26"/>
      <c r="V121" s="23"/>
      <c r="W121" s="23"/>
      <c r="X121" s="23"/>
      <c r="Y121" s="23"/>
      <c r="Z121" s="23"/>
      <c r="AA121" s="16"/>
      <c r="AB121" s="23"/>
      <c r="AC121" s="28"/>
      <c r="AD121" s="32"/>
      <c r="AE121" s="28"/>
      <c r="AF121" s="29"/>
      <c r="AG121" s="26"/>
      <c r="AH121" s="23"/>
      <c r="AI121" s="23"/>
      <c r="AJ121" s="23"/>
      <c r="AK121" s="23"/>
      <c r="AL121" s="23"/>
    </row>
    <row r="122" spans="1:39" ht="17.25" customHeight="1" x14ac:dyDescent="0.2">
      <c r="A122" s="50">
        <v>46131</v>
      </c>
      <c r="B122" s="84" t="s">
        <v>186</v>
      </c>
      <c r="C122" s="22"/>
      <c r="D122" s="4" t="s">
        <v>37</v>
      </c>
      <c r="E122" s="23"/>
      <c r="F122" s="32"/>
      <c r="G122" s="28"/>
      <c r="H122" s="30"/>
      <c r="I122" s="26"/>
      <c r="J122" s="23"/>
      <c r="K122" s="23"/>
      <c r="L122" s="23"/>
      <c r="M122" s="23"/>
      <c r="N122" s="23"/>
      <c r="O122" s="16"/>
      <c r="P122" s="23"/>
      <c r="Q122" s="28"/>
      <c r="R122" s="32"/>
      <c r="S122" s="28"/>
      <c r="T122" s="65"/>
      <c r="U122" s="26"/>
      <c r="V122" s="23"/>
      <c r="W122" s="23"/>
      <c r="X122" s="23"/>
      <c r="Y122" s="23"/>
      <c r="Z122" s="23"/>
      <c r="AA122" s="16"/>
      <c r="AB122" s="23"/>
      <c r="AC122" s="28"/>
      <c r="AD122" s="32"/>
      <c r="AE122" s="28"/>
      <c r="AF122" s="29"/>
      <c r="AG122" s="26"/>
      <c r="AH122" s="23"/>
      <c r="AI122" s="23"/>
      <c r="AJ122" s="23"/>
      <c r="AK122" s="23"/>
      <c r="AL122" s="23"/>
    </row>
    <row r="123" spans="1:39" ht="17.25" customHeight="1" x14ac:dyDescent="0.2">
      <c r="A123" s="48"/>
      <c r="B123" s="60"/>
      <c r="C123" s="77"/>
      <c r="D123" s="15"/>
      <c r="E123" s="14"/>
      <c r="F123" s="15"/>
      <c r="G123" s="16"/>
      <c r="H123" s="15"/>
      <c r="I123" s="17"/>
      <c r="J123" s="17"/>
      <c r="K123" s="17"/>
      <c r="L123" s="17"/>
      <c r="M123" s="17"/>
      <c r="N123" s="17"/>
      <c r="O123" s="15"/>
      <c r="P123" s="14"/>
      <c r="Q123" s="16"/>
      <c r="R123" s="15"/>
      <c r="S123" s="16"/>
      <c r="T123" s="15"/>
      <c r="U123" s="17"/>
      <c r="V123" s="17"/>
      <c r="W123" s="17"/>
      <c r="X123" s="17"/>
      <c r="Y123" s="17"/>
      <c r="Z123" s="17"/>
      <c r="AA123" s="15"/>
      <c r="AB123" s="14"/>
      <c r="AC123" s="16"/>
      <c r="AD123" s="15"/>
      <c r="AE123" s="16"/>
      <c r="AF123" s="15"/>
      <c r="AG123" s="17"/>
      <c r="AH123" s="17"/>
      <c r="AI123" s="17"/>
      <c r="AJ123" s="17"/>
      <c r="AK123" s="17"/>
      <c r="AL123" s="17"/>
      <c r="AM123" s="15"/>
    </row>
    <row r="124" spans="1:39" ht="17.25" customHeight="1" x14ac:dyDescent="0.2">
      <c r="A124" s="50">
        <v>46132</v>
      </c>
      <c r="B124" s="60"/>
      <c r="C124" s="22"/>
      <c r="D124" s="4" t="s">
        <v>19</v>
      </c>
      <c r="E124" s="23"/>
      <c r="F124" s="32" t="s">
        <v>75</v>
      </c>
      <c r="G124" s="28"/>
      <c r="H124" s="29" t="s">
        <v>187</v>
      </c>
      <c r="I124" s="26"/>
      <c r="J124" s="23"/>
      <c r="K124" s="23"/>
      <c r="L124" s="23"/>
      <c r="M124" s="23"/>
      <c r="N124" s="23"/>
      <c r="O124" s="16"/>
      <c r="P124" s="23"/>
      <c r="Q124" s="28"/>
      <c r="R124" s="32"/>
      <c r="S124" s="37"/>
      <c r="T124" s="74"/>
      <c r="U124" s="26"/>
      <c r="V124" s="23"/>
      <c r="W124" s="23"/>
      <c r="X124" s="23"/>
      <c r="Y124" s="23"/>
      <c r="Z124" s="23"/>
      <c r="AA124" s="16"/>
      <c r="AB124" s="23"/>
      <c r="AC124" s="37"/>
      <c r="AD124" s="32"/>
      <c r="AE124" s="37"/>
      <c r="AF124" s="29"/>
      <c r="AG124" s="26"/>
      <c r="AH124" s="23"/>
      <c r="AI124" s="23"/>
      <c r="AJ124" s="23"/>
      <c r="AK124" s="23"/>
      <c r="AL124" s="23"/>
    </row>
    <row r="125" spans="1:39" ht="17.25" customHeight="1" x14ac:dyDescent="0.2">
      <c r="A125" s="50">
        <v>46133</v>
      </c>
      <c r="B125" s="60"/>
      <c r="C125" s="22"/>
      <c r="D125" s="4" t="s">
        <v>27</v>
      </c>
      <c r="E125" s="23"/>
      <c r="F125" s="32"/>
      <c r="G125" s="26"/>
      <c r="H125" s="26"/>
      <c r="I125" s="26"/>
      <c r="J125" s="23"/>
      <c r="K125" s="23"/>
      <c r="L125" s="23"/>
      <c r="M125" s="23"/>
      <c r="N125" s="23"/>
      <c r="O125" s="16"/>
      <c r="P125" s="23"/>
      <c r="Q125" s="37"/>
      <c r="R125" s="32"/>
      <c r="S125" s="37"/>
      <c r="T125" s="88"/>
      <c r="U125" s="26"/>
      <c r="V125" s="23"/>
      <c r="W125" s="23"/>
      <c r="X125" s="23"/>
      <c r="Y125" s="23"/>
      <c r="Z125" s="23"/>
      <c r="AA125" s="16"/>
      <c r="AB125" s="23"/>
      <c r="AC125" s="28"/>
      <c r="AD125" s="32"/>
      <c r="AE125" s="58"/>
      <c r="AF125" s="80"/>
      <c r="AG125" s="26"/>
      <c r="AH125" s="23"/>
      <c r="AI125" s="23"/>
      <c r="AJ125" s="23"/>
      <c r="AK125" s="23"/>
      <c r="AL125" s="23"/>
    </row>
    <row r="126" spans="1:39" ht="17.25" customHeight="1" x14ac:dyDescent="0.2">
      <c r="A126" s="50">
        <v>46134</v>
      </c>
      <c r="B126" s="60"/>
      <c r="C126" s="22"/>
      <c r="D126" s="4" t="s">
        <v>31</v>
      </c>
      <c r="E126" s="23"/>
      <c r="F126" s="32"/>
      <c r="G126" s="28"/>
      <c r="H126" s="30"/>
      <c r="I126" s="26"/>
      <c r="J126" s="23"/>
      <c r="K126" s="23"/>
      <c r="L126" s="23"/>
      <c r="M126" s="23"/>
      <c r="N126" s="23"/>
      <c r="O126" s="16"/>
      <c r="P126" s="23"/>
      <c r="Q126" s="28"/>
      <c r="R126" s="32"/>
      <c r="S126" s="26"/>
      <c r="T126" s="74"/>
      <c r="U126" s="26"/>
      <c r="V126" s="23"/>
      <c r="W126" s="23"/>
      <c r="X126" s="23"/>
      <c r="Y126" s="23"/>
      <c r="Z126" s="23"/>
      <c r="AA126" s="16"/>
      <c r="AB126" s="23"/>
      <c r="AC126" s="26"/>
      <c r="AD126" s="32"/>
      <c r="AE126" s="28"/>
      <c r="AF126" s="59"/>
      <c r="AG126" s="26"/>
      <c r="AH126" s="23"/>
      <c r="AI126" s="23"/>
      <c r="AJ126" s="23"/>
      <c r="AK126" s="23"/>
      <c r="AL126" s="23"/>
    </row>
    <row r="127" spans="1:39" ht="17.25" customHeight="1" x14ac:dyDescent="0.2">
      <c r="A127" s="50">
        <v>46135</v>
      </c>
      <c r="B127" s="60"/>
      <c r="C127" s="22">
        <f>C119+1</f>
        <v>17</v>
      </c>
      <c r="D127" s="4" t="s">
        <v>33</v>
      </c>
      <c r="E127" s="23"/>
      <c r="F127" s="32"/>
      <c r="G127" s="28"/>
      <c r="H127" s="30"/>
      <c r="I127" s="26"/>
      <c r="J127" s="23"/>
      <c r="K127" s="23"/>
      <c r="L127" s="23"/>
      <c r="M127" s="23"/>
      <c r="N127" s="23"/>
      <c r="O127" s="16"/>
      <c r="P127" s="23"/>
      <c r="Q127" s="37"/>
      <c r="R127" s="32"/>
      <c r="S127" s="58"/>
      <c r="T127" s="74"/>
      <c r="U127" s="26"/>
      <c r="V127" s="23"/>
      <c r="W127" s="23"/>
      <c r="X127" s="23"/>
      <c r="Y127" s="23"/>
      <c r="Z127" s="23"/>
      <c r="AA127" s="16"/>
      <c r="AB127" s="26"/>
      <c r="AC127" s="26"/>
      <c r="AD127" s="32"/>
      <c r="AE127" s="26"/>
      <c r="AF127" s="26"/>
      <c r="AG127" s="26"/>
      <c r="AH127" s="23"/>
      <c r="AI127" s="23"/>
      <c r="AJ127" s="23"/>
      <c r="AK127" s="23"/>
      <c r="AL127" s="23"/>
    </row>
    <row r="128" spans="1:39" ht="17.25" customHeight="1" x14ac:dyDescent="0.2">
      <c r="A128" s="50">
        <v>46136</v>
      </c>
      <c r="B128" s="60"/>
      <c r="C128" s="22"/>
      <c r="D128" s="4" t="s">
        <v>35</v>
      </c>
      <c r="E128" s="23"/>
      <c r="F128" s="32"/>
      <c r="G128" s="26"/>
      <c r="H128" s="26"/>
      <c r="I128" s="26"/>
      <c r="J128" s="23"/>
      <c r="K128" s="23"/>
      <c r="L128" s="23"/>
      <c r="M128" s="23"/>
      <c r="N128" s="23"/>
      <c r="O128" s="16"/>
      <c r="P128" s="23"/>
      <c r="Q128" s="28"/>
      <c r="R128" s="32"/>
      <c r="S128" s="37"/>
      <c r="T128" s="65"/>
      <c r="U128" s="26"/>
      <c r="V128" s="23"/>
      <c r="W128" s="23"/>
      <c r="X128" s="23"/>
      <c r="Y128" s="23"/>
      <c r="Z128" s="23"/>
      <c r="AA128" s="16"/>
      <c r="AB128" s="23"/>
      <c r="AC128" s="28"/>
      <c r="AD128" s="32"/>
      <c r="AE128" s="28"/>
      <c r="AF128" s="29"/>
      <c r="AG128" s="26"/>
      <c r="AH128" s="23"/>
      <c r="AI128" s="23"/>
      <c r="AJ128" s="23"/>
      <c r="AK128" s="23"/>
      <c r="AL128" s="23"/>
    </row>
    <row r="129" spans="1:39" ht="17.25" customHeight="1" x14ac:dyDescent="0.2">
      <c r="A129" s="50">
        <v>46137</v>
      </c>
      <c r="B129" s="60"/>
      <c r="C129" s="22"/>
      <c r="D129" s="4" t="s">
        <v>36</v>
      </c>
      <c r="E129" s="26"/>
      <c r="F129" s="32"/>
      <c r="G129" s="26"/>
      <c r="H129" s="26"/>
      <c r="I129" s="26"/>
      <c r="J129" s="23"/>
      <c r="K129" s="23"/>
      <c r="L129" s="23"/>
      <c r="M129" s="23"/>
      <c r="N129" s="23"/>
      <c r="O129" s="16"/>
      <c r="P129" s="23"/>
      <c r="Q129" s="28"/>
      <c r="R129" s="32"/>
      <c r="S129" s="28"/>
      <c r="T129" s="74"/>
      <c r="U129" s="26"/>
      <c r="V129" s="23"/>
      <c r="W129" s="23"/>
      <c r="X129" s="23"/>
      <c r="Y129" s="23"/>
      <c r="Z129" s="23"/>
      <c r="AA129" s="16"/>
      <c r="AB129" s="23"/>
      <c r="AC129" s="28"/>
      <c r="AD129" s="32"/>
      <c r="AE129" s="28"/>
      <c r="AF129" s="29"/>
      <c r="AG129" s="26"/>
      <c r="AH129" s="23"/>
      <c r="AI129" s="23"/>
      <c r="AJ129" s="23"/>
      <c r="AK129" s="23"/>
      <c r="AL129" s="23"/>
    </row>
    <row r="130" spans="1:39" ht="17.25" customHeight="1" x14ac:dyDescent="0.2">
      <c r="A130" s="50">
        <v>46138</v>
      </c>
      <c r="B130" s="60"/>
      <c r="C130" s="22"/>
      <c r="D130" s="4" t="s">
        <v>37</v>
      </c>
      <c r="E130" s="23"/>
      <c r="F130" s="32"/>
      <c r="G130" s="28"/>
      <c r="H130" s="29"/>
      <c r="I130" s="26"/>
      <c r="J130" s="23"/>
      <c r="K130" s="23"/>
      <c r="L130" s="23"/>
      <c r="M130" s="23"/>
      <c r="N130" s="23"/>
      <c r="O130" s="16"/>
      <c r="P130" s="23"/>
      <c r="Q130" s="28"/>
      <c r="R130" s="32"/>
      <c r="S130" s="28"/>
      <c r="T130" s="65"/>
      <c r="U130" s="26"/>
      <c r="V130" s="23"/>
      <c r="W130" s="23"/>
      <c r="X130" s="23"/>
      <c r="Y130" s="23"/>
      <c r="Z130" s="23"/>
      <c r="AA130" s="16"/>
      <c r="AB130" s="23"/>
      <c r="AC130" s="28"/>
      <c r="AD130" s="32"/>
      <c r="AE130" s="28"/>
      <c r="AF130" s="29"/>
      <c r="AG130" s="26"/>
      <c r="AH130" s="23"/>
      <c r="AI130" s="23"/>
      <c r="AJ130" s="23"/>
      <c r="AK130" s="23"/>
      <c r="AL130" s="23"/>
    </row>
    <row r="131" spans="1:39" ht="17.25" customHeight="1" x14ac:dyDescent="0.2">
      <c r="A131" s="48"/>
      <c r="B131" s="60"/>
      <c r="C131" s="77"/>
      <c r="D131" s="15"/>
      <c r="E131" s="14"/>
      <c r="F131" s="15"/>
      <c r="G131" s="16"/>
      <c r="H131" s="15"/>
      <c r="I131" s="17"/>
      <c r="J131" s="17"/>
      <c r="K131" s="17"/>
      <c r="L131" s="17"/>
      <c r="M131" s="17"/>
      <c r="N131" s="17"/>
      <c r="O131" s="15"/>
      <c r="P131" s="14"/>
      <c r="Q131" s="16"/>
      <c r="R131" s="15"/>
      <c r="S131" s="16"/>
      <c r="T131" s="15"/>
      <c r="U131" s="17"/>
      <c r="V131" s="17"/>
      <c r="W131" s="17"/>
      <c r="X131" s="17"/>
      <c r="Y131" s="17"/>
      <c r="Z131" s="17"/>
      <c r="AA131" s="15"/>
      <c r="AB131" s="14"/>
      <c r="AC131" s="16"/>
      <c r="AD131" s="15"/>
      <c r="AE131" s="16"/>
      <c r="AF131" s="15"/>
      <c r="AG131" s="17"/>
      <c r="AH131" s="17"/>
      <c r="AI131" s="17"/>
      <c r="AJ131" s="17"/>
      <c r="AK131" s="17"/>
      <c r="AL131" s="17"/>
      <c r="AM131" s="15"/>
    </row>
    <row r="132" spans="1:39" ht="17.25" customHeight="1" x14ac:dyDescent="0.2">
      <c r="A132" s="50">
        <v>46139</v>
      </c>
      <c r="B132" s="60"/>
      <c r="C132" s="22"/>
      <c r="D132" s="4" t="s">
        <v>19</v>
      </c>
      <c r="E132" s="23"/>
      <c r="F132" s="32"/>
      <c r="G132" s="28"/>
      <c r="H132" s="30"/>
      <c r="I132" s="26"/>
      <c r="J132" s="23"/>
      <c r="K132" s="23"/>
      <c r="L132" s="23"/>
      <c r="M132" s="23"/>
      <c r="N132" s="23"/>
      <c r="O132" s="16"/>
      <c r="P132" s="23"/>
      <c r="Q132" s="28"/>
      <c r="R132" s="32"/>
      <c r="S132" s="37"/>
      <c r="T132" s="74"/>
      <c r="U132" s="26"/>
      <c r="V132" s="23"/>
      <c r="W132" s="23"/>
      <c r="X132" s="23"/>
      <c r="Y132" s="23"/>
      <c r="Z132" s="23"/>
      <c r="AA132" s="16"/>
      <c r="AB132" s="23"/>
      <c r="AC132" s="28"/>
      <c r="AD132" s="32"/>
      <c r="AE132" s="37"/>
      <c r="AF132" s="29"/>
      <c r="AG132" s="26"/>
      <c r="AH132" s="23"/>
      <c r="AI132" s="23"/>
      <c r="AJ132" s="23"/>
      <c r="AK132" s="23"/>
      <c r="AL132" s="23"/>
    </row>
    <row r="133" spans="1:39" ht="17.25" customHeight="1" x14ac:dyDescent="0.2">
      <c r="A133" s="50">
        <v>46140</v>
      </c>
      <c r="B133" s="60"/>
      <c r="C133" s="22"/>
      <c r="D133" s="4" t="s">
        <v>27</v>
      </c>
      <c r="E133" s="23"/>
      <c r="F133" s="32"/>
      <c r="G133" s="37"/>
      <c r="H133" s="30"/>
      <c r="I133" s="26"/>
      <c r="J133" s="23"/>
      <c r="K133" s="23"/>
      <c r="L133" s="23"/>
      <c r="M133" s="23"/>
      <c r="N133" s="23"/>
      <c r="O133" s="16"/>
      <c r="P133" s="23"/>
      <c r="Q133" s="28"/>
      <c r="R133" s="32"/>
      <c r="S133" s="37"/>
      <c r="T133" s="88"/>
      <c r="U133" s="26"/>
      <c r="V133" s="23"/>
      <c r="W133" s="23"/>
      <c r="X133" s="23"/>
      <c r="Y133" s="23"/>
      <c r="Z133" s="23"/>
      <c r="AA133" s="16"/>
      <c r="AB133" s="23"/>
      <c r="AC133" s="28"/>
      <c r="AD133" s="32"/>
      <c r="AE133" s="28"/>
      <c r="AF133" s="29"/>
      <c r="AG133" s="26"/>
      <c r="AH133" s="23"/>
      <c r="AI133" s="23"/>
      <c r="AJ133" s="23"/>
      <c r="AK133" s="23"/>
      <c r="AL133" s="23"/>
    </row>
    <row r="134" spans="1:39" ht="17.25" customHeight="1" x14ac:dyDescent="0.2">
      <c r="A134" s="50">
        <v>46141</v>
      </c>
      <c r="B134" s="60"/>
      <c r="C134" s="22"/>
      <c r="D134" s="4" t="s">
        <v>31</v>
      </c>
      <c r="E134" s="23"/>
      <c r="F134" s="32"/>
      <c r="G134" s="28"/>
      <c r="H134" s="30"/>
      <c r="I134" s="26"/>
      <c r="J134" s="23"/>
      <c r="K134" s="23"/>
      <c r="L134" s="23"/>
      <c r="M134" s="23"/>
      <c r="N134" s="23"/>
      <c r="O134" s="16"/>
      <c r="P134" s="23"/>
      <c r="Q134" s="28"/>
      <c r="R134" s="32"/>
      <c r="S134" s="37"/>
      <c r="T134" s="74"/>
      <c r="U134" s="26"/>
      <c r="V134" s="23"/>
      <c r="W134" s="23"/>
      <c r="X134" s="23"/>
      <c r="Y134" s="23"/>
      <c r="Z134" s="23"/>
      <c r="AA134" s="16"/>
      <c r="AB134" s="23"/>
      <c r="AC134" s="26"/>
      <c r="AD134" s="32"/>
      <c r="AE134" s="28"/>
      <c r="AF134" s="80"/>
      <c r="AG134" s="26"/>
      <c r="AH134" s="23"/>
      <c r="AI134" s="23"/>
      <c r="AJ134" s="23"/>
      <c r="AK134" s="23"/>
      <c r="AL134" s="23"/>
    </row>
    <row r="135" spans="1:39" ht="17.25" customHeight="1" x14ac:dyDescent="0.2">
      <c r="A135" s="50">
        <v>46142</v>
      </c>
      <c r="B135" s="60"/>
      <c r="C135" s="22">
        <f>C127+1</f>
        <v>18</v>
      </c>
      <c r="D135" s="4" t="s">
        <v>33</v>
      </c>
      <c r="E135" s="23"/>
      <c r="F135" s="32"/>
      <c r="G135" s="28"/>
      <c r="H135" s="30"/>
      <c r="I135" s="26"/>
      <c r="J135" s="23"/>
      <c r="K135" s="23"/>
      <c r="L135" s="23"/>
      <c r="M135" s="23"/>
      <c r="N135" s="23"/>
      <c r="O135" s="16"/>
      <c r="P135" s="23"/>
      <c r="Q135" s="28"/>
      <c r="R135" s="32"/>
      <c r="S135" s="28"/>
      <c r="T135" s="74"/>
      <c r="U135" s="26"/>
      <c r="V135" s="23"/>
      <c r="W135" s="23"/>
      <c r="X135" s="23"/>
      <c r="Y135" s="23"/>
      <c r="Z135" s="23"/>
      <c r="AA135" s="16"/>
      <c r="AB135" s="23"/>
      <c r="AC135" s="28"/>
      <c r="AD135" s="32"/>
      <c r="AE135" s="37"/>
      <c r="AF135" s="66"/>
      <c r="AG135" s="26"/>
      <c r="AH135" s="23"/>
      <c r="AI135" s="23"/>
      <c r="AJ135" s="23"/>
      <c r="AK135" s="23"/>
      <c r="AL135" s="23"/>
    </row>
    <row r="136" spans="1:39" ht="17.25" customHeight="1" x14ac:dyDescent="0.2">
      <c r="A136" s="50">
        <v>46143</v>
      </c>
      <c r="B136" s="41" t="s">
        <v>188</v>
      </c>
      <c r="C136" s="22"/>
      <c r="D136" s="4" t="s">
        <v>35</v>
      </c>
      <c r="E136" s="23"/>
      <c r="F136" s="32"/>
      <c r="G136" s="28"/>
      <c r="H136" s="30"/>
      <c r="I136" s="26"/>
      <c r="J136" s="23"/>
      <c r="K136" s="23"/>
      <c r="L136" s="23"/>
      <c r="M136" s="23"/>
      <c r="N136" s="23"/>
      <c r="O136" s="16"/>
      <c r="P136" s="23"/>
      <c r="Q136" s="28"/>
      <c r="R136" s="32"/>
      <c r="S136" s="89"/>
      <c r="T136" s="65"/>
      <c r="U136" s="26"/>
      <c r="V136" s="23"/>
      <c r="W136" s="23"/>
      <c r="X136" s="23"/>
      <c r="Y136" s="23"/>
      <c r="Z136" s="23"/>
      <c r="AA136" s="16"/>
      <c r="AB136" s="23"/>
      <c r="AC136" s="37"/>
      <c r="AD136" s="32"/>
      <c r="AE136" s="28"/>
      <c r="AF136" s="66"/>
      <c r="AG136" s="26"/>
      <c r="AH136" s="23"/>
      <c r="AI136" s="23"/>
      <c r="AJ136" s="23"/>
      <c r="AK136" s="23"/>
      <c r="AL136" s="23"/>
    </row>
    <row r="137" spans="1:39" ht="17.25" customHeight="1" x14ac:dyDescent="0.2">
      <c r="A137" s="50">
        <v>46144</v>
      </c>
      <c r="B137" s="60"/>
      <c r="C137" s="22"/>
      <c r="D137" s="4" t="s">
        <v>36</v>
      </c>
      <c r="E137" s="23"/>
      <c r="F137" s="32"/>
      <c r="G137" s="28"/>
      <c r="H137" s="30"/>
      <c r="I137" s="26"/>
      <c r="J137" s="23"/>
      <c r="K137" s="23"/>
      <c r="L137" s="23"/>
      <c r="M137" s="23"/>
      <c r="N137" s="23"/>
      <c r="O137" s="16"/>
      <c r="P137" s="23"/>
      <c r="Q137" s="28"/>
      <c r="R137" s="32"/>
      <c r="S137" s="28"/>
      <c r="T137" s="74"/>
      <c r="U137" s="26"/>
      <c r="V137" s="23"/>
      <c r="W137" s="23"/>
      <c r="X137" s="23"/>
      <c r="Y137" s="23"/>
      <c r="Z137" s="23"/>
      <c r="AA137" s="16"/>
      <c r="AB137" s="23"/>
      <c r="AC137" s="28"/>
      <c r="AD137" s="32"/>
      <c r="AE137" s="28"/>
      <c r="AF137" s="29"/>
      <c r="AG137" s="26"/>
      <c r="AH137" s="23"/>
      <c r="AI137" s="23"/>
      <c r="AJ137" s="23"/>
      <c r="AK137" s="23"/>
      <c r="AL137" s="23"/>
    </row>
    <row r="138" spans="1:39" ht="17.25" customHeight="1" x14ac:dyDescent="0.2">
      <c r="A138" s="50">
        <v>46145</v>
      </c>
      <c r="B138" s="60"/>
      <c r="C138" s="22"/>
      <c r="D138" s="4" t="s">
        <v>37</v>
      </c>
      <c r="E138" s="23"/>
      <c r="F138" s="32"/>
      <c r="G138" s="28"/>
      <c r="H138" s="30"/>
      <c r="I138" s="26"/>
      <c r="J138" s="23"/>
      <c r="K138" s="23"/>
      <c r="L138" s="23"/>
      <c r="M138" s="23"/>
      <c r="N138" s="23"/>
      <c r="O138" s="16"/>
      <c r="P138" s="23"/>
      <c r="Q138" s="28"/>
      <c r="R138" s="32"/>
      <c r="S138" s="37"/>
      <c r="T138" s="65"/>
      <c r="U138" s="26"/>
      <c r="V138" s="23"/>
      <c r="W138" s="23"/>
      <c r="X138" s="23"/>
      <c r="Y138" s="23"/>
      <c r="Z138" s="23"/>
      <c r="AA138" s="16"/>
      <c r="AB138" s="23"/>
      <c r="AC138" s="28"/>
      <c r="AD138" s="32"/>
      <c r="AE138" s="28"/>
      <c r="AF138" s="29"/>
      <c r="AG138" s="26"/>
      <c r="AH138" s="23"/>
      <c r="AI138" s="23"/>
      <c r="AJ138" s="23"/>
      <c r="AK138" s="23"/>
      <c r="AL138" s="23"/>
    </row>
    <row r="139" spans="1:39" ht="17.25" customHeight="1" x14ac:dyDescent="0.2">
      <c r="A139" s="48"/>
      <c r="B139" s="60"/>
      <c r="C139" s="77"/>
      <c r="D139" s="15"/>
      <c r="E139" s="14"/>
      <c r="F139" s="15"/>
      <c r="G139" s="16"/>
      <c r="H139" s="15"/>
      <c r="I139" s="17"/>
      <c r="J139" s="17"/>
      <c r="K139" s="17"/>
      <c r="L139" s="17"/>
      <c r="M139" s="17"/>
      <c r="N139" s="17"/>
      <c r="O139" s="15"/>
      <c r="P139" s="14"/>
      <c r="Q139" s="16"/>
      <c r="R139" s="15"/>
      <c r="S139" s="16"/>
      <c r="T139" s="15"/>
      <c r="U139" s="17"/>
      <c r="V139" s="17"/>
      <c r="W139" s="17"/>
      <c r="X139" s="17"/>
      <c r="Y139" s="17"/>
      <c r="Z139" s="17"/>
      <c r="AA139" s="15"/>
      <c r="AB139" s="14"/>
      <c r="AC139" s="16"/>
      <c r="AD139" s="15"/>
      <c r="AE139" s="16"/>
      <c r="AF139" s="15"/>
      <c r="AG139" s="17"/>
      <c r="AH139" s="17"/>
      <c r="AI139" s="17"/>
      <c r="AJ139" s="17"/>
      <c r="AK139" s="17"/>
      <c r="AL139" s="17"/>
      <c r="AM139" s="15"/>
    </row>
    <row r="140" spans="1:39" ht="17.25" customHeight="1" x14ac:dyDescent="0.2">
      <c r="A140" s="50">
        <v>46146</v>
      </c>
      <c r="B140" s="60"/>
      <c r="C140" s="22"/>
      <c r="D140" s="4" t="s">
        <v>19</v>
      </c>
      <c r="E140" s="23"/>
      <c r="F140" s="32"/>
      <c r="G140" s="28"/>
      <c r="H140" s="30"/>
      <c r="I140" s="26"/>
      <c r="J140" s="23"/>
      <c r="K140" s="23"/>
      <c r="L140" s="23"/>
      <c r="M140" s="23"/>
      <c r="N140" s="23"/>
      <c r="O140" s="16"/>
      <c r="P140" s="23"/>
      <c r="Q140" s="28"/>
      <c r="R140" s="32"/>
      <c r="S140" s="37"/>
      <c r="T140" s="74"/>
      <c r="U140" s="26"/>
      <c r="V140" s="23"/>
      <c r="W140" s="23"/>
      <c r="X140" s="23"/>
      <c r="Y140" s="23"/>
      <c r="Z140" s="23"/>
      <c r="AA140" s="16"/>
      <c r="AB140" s="23"/>
      <c r="AC140" s="28"/>
      <c r="AD140" s="32"/>
      <c r="AE140" s="58"/>
      <c r="AF140" s="29"/>
      <c r="AG140" s="26"/>
      <c r="AH140" s="23"/>
      <c r="AI140" s="23"/>
      <c r="AJ140" s="23"/>
      <c r="AK140" s="23"/>
      <c r="AL140" s="23"/>
    </row>
    <row r="141" spans="1:39" ht="17.25" customHeight="1" x14ac:dyDescent="0.2">
      <c r="A141" s="50">
        <v>46147</v>
      </c>
      <c r="B141" s="60"/>
      <c r="C141" s="22"/>
      <c r="D141" s="4" t="s">
        <v>27</v>
      </c>
      <c r="E141" s="23"/>
      <c r="F141" s="32"/>
      <c r="G141" s="37"/>
      <c r="H141" s="96"/>
      <c r="I141" s="26"/>
      <c r="J141" s="23"/>
      <c r="K141" s="23"/>
      <c r="L141" s="23"/>
      <c r="M141" s="23"/>
      <c r="N141" s="23"/>
      <c r="O141" s="16"/>
      <c r="P141" s="23"/>
      <c r="Q141" s="37"/>
      <c r="R141" s="32"/>
      <c r="S141" s="28"/>
      <c r="T141" s="88"/>
      <c r="U141" s="26"/>
      <c r="V141" s="23"/>
      <c r="W141" s="23"/>
      <c r="X141" s="23"/>
      <c r="Y141" s="23"/>
      <c r="Z141" s="23"/>
      <c r="AA141" s="16"/>
      <c r="AB141" s="23"/>
      <c r="AC141" s="37"/>
      <c r="AD141" s="32"/>
      <c r="AE141" s="28"/>
      <c r="AF141" s="66"/>
      <c r="AG141" s="26"/>
      <c r="AH141" s="23"/>
      <c r="AI141" s="23"/>
      <c r="AJ141" s="23"/>
      <c r="AK141" s="23"/>
      <c r="AL141" s="23"/>
    </row>
    <row r="142" spans="1:39" ht="17.25" customHeight="1" x14ac:dyDescent="0.2">
      <c r="A142" s="50">
        <v>46148</v>
      </c>
      <c r="B142" s="60"/>
      <c r="C142" s="22"/>
      <c r="D142" s="4" t="s">
        <v>31</v>
      </c>
      <c r="E142" s="23"/>
      <c r="F142" s="32"/>
      <c r="G142" s="37"/>
      <c r="H142" s="74"/>
      <c r="I142" s="26"/>
      <c r="J142" s="23"/>
      <c r="K142" s="23"/>
      <c r="L142" s="23"/>
      <c r="M142" s="23"/>
      <c r="N142" s="23"/>
      <c r="O142" s="16"/>
      <c r="P142" s="23"/>
      <c r="Q142" s="37"/>
      <c r="R142" s="32"/>
      <c r="S142" s="28"/>
      <c r="T142" s="74"/>
      <c r="U142" s="26"/>
      <c r="V142" s="23"/>
      <c r="W142" s="23"/>
      <c r="X142" s="23"/>
      <c r="Y142" s="23"/>
      <c r="Z142" s="23"/>
      <c r="AA142" s="16"/>
      <c r="AB142" s="23"/>
      <c r="AC142" s="37"/>
      <c r="AD142" s="32"/>
      <c r="AE142" s="28"/>
      <c r="AF142" s="29"/>
      <c r="AG142" s="26"/>
      <c r="AH142" s="23"/>
      <c r="AI142" s="23"/>
      <c r="AJ142" s="23"/>
      <c r="AK142" s="23"/>
      <c r="AL142" s="23"/>
    </row>
    <row r="143" spans="1:39" ht="17.25" customHeight="1" x14ac:dyDescent="0.2">
      <c r="A143" s="50">
        <v>46149</v>
      </c>
      <c r="B143" s="60"/>
      <c r="C143" s="22">
        <f>C135+1</f>
        <v>19</v>
      </c>
      <c r="D143" s="4" t="s">
        <v>33</v>
      </c>
      <c r="E143" s="23"/>
      <c r="F143" s="32"/>
      <c r="G143" s="24"/>
      <c r="H143" s="24"/>
      <c r="I143" s="26"/>
      <c r="J143" s="23"/>
      <c r="K143" s="23"/>
      <c r="L143" s="23"/>
      <c r="M143" s="23"/>
      <c r="N143" s="23"/>
      <c r="O143" s="16"/>
      <c r="P143" s="23"/>
      <c r="Q143" s="37"/>
      <c r="R143" s="32"/>
      <c r="S143" s="37"/>
      <c r="T143" s="74"/>
      <c r="U143" s="26"/>
      <c r="V143" s="23"/>
      <c r="W143" s="23"/>
      <c r="X143" s="23"/>
      <c r="Y143" s="23"/>
      <c r="Z143" s="23"/>
      <c r="AA143" s="16"/>
      <c r="AB143" s="23"/>
      <c r="AC143" s="37"/>
      <c r="AD143" s="32"/>
      <c r="AE143" s="28"/>
      <c r="AF143" s="29"/>
      <c r="AG143" s="26"/>
      <c r="AH143" s="23"/>
      <c r="AI143" s="23"/>
      <c r="AJ143" s="23"/>
      <c r="AK143" s="23"/>
      <c r="AL143" s="23"/>
    </row>
    <row r="144" spans="1:39" ht="17.25" customHeight="1" x14ac:dyDescent="0.2">
      <c r="A144" s="50">
        <v>46150</v>
      </c>
      <c r="B144" s="60"/>
      <c r="C144" s="22"/>
      <c r="D144" s="4" t="s">
        <v>35</v>
      </c>
      <c r="E144" s="23"/>
      <c r="F144" s="32"/>
      <c r="G144" s="97"/>
      <c r="H144" s="30"/>
      <c r="I144" s="26"/>
      <c r="J144" s="23"/>
      <c r="K144" s="23"/>
      <c r="L144" s="23"/>
      <c r="M144" s="23"/>
      <c r="N144" s="23"/>
      <c r="O144" s="16"/>
      <c r="P144" s="23"/>
      <c r="Q144" s="97"/>
      <c r="R144" s="32"/>
      <c r="S144" s="37"/>
      <c r="T144" s="65"/>
      <c r="U144" s="26"/>
      <c r="V144" s="23"/>
      <c r="W144" s="23"/>
      <c r="X144" s="23"/>
      <c r="Y144" s="23"/>
      <c r="Z144" s="23"/>
      <c r="AA144" s="16"/>
      <c r="AB144" s="23"/>
      <c r="AC144" s="97"/>
      <c r="AD144" s="32"/>
      <c r="AE144" s="37"/>
      <c r="AF144" s="29"/>
      <c r="AG144" s="26"/>
      <c r="AH144" s="23"/>
      <c r="AI144" s="23"/>
      <c r="AJ144" s="23"/>
      <c r="AK144" s="23"/>
      <c r="AL144" s="23"/>
    </row>
    <row r="145" spans="1:39" ht="17.25" customHeight="1" x14ac:dyDescent="0.2">
      <c r="A145" s="50">
        <v>46151</v>
      </c>
      <c r="B145" s="60"/>
      <c r="C145" s="22"/>
      <c r="D145" s="4" t="s">
        <v>36</v>
      </c>
      <c r="E145" s="23"/>
      <c r="F145" s="32"/>
      <c r="G145" s="28"/>
      <c r="H145" s="29"/>
      <c r="I145" s="26"/>
      <c r="J145" s="23"/>
      <c r="K145" s="23"/>
      <c r="L145" s="23"/>
      <c r="M145" s="23"/>
      <c r="N145" s="23"/>
      <c r="O145" s="16"/>
      <c r="P145" s="23"/>
      <c r="Q145" s="28"/>
      <c r="R145" s="32"/>
      <c r="S145" s="28"/>
      <c r="T145" s="74"/>
      <c r="U145" s="26"/>
      <c r="V145" s="23"/>
      <c r="W145" s="23"/>
      <c r="X145" s="23"/>
      <c r="Y145" s="23"/>
      <c r="Z145" s="23"/>
      <c r="AA145" s="16"/>
      <c r="AB145" s="23"/>
      <c r="AC145" s="28"/>
      <c r="AD145" s="32"/>
      <c r="AE145" s="58"/>
      <c r="AF145" s="29"/>
      <c r="AG145" s="26"/>
      <c r="AH145" s="23"/>
      <c r="AI145" s="23"/>
      <c r="AJ145" s="23"/>
      <c r="AK145" s="23"/>
      <c r="AL145" s="23"/>
    </row>
    <row r="146" spans="1:39" ht="21" customHeight="1" x14ac:dyDescent="0.2">
      <c r="A146" s="50">
        <v>46152</v>
      </c>
      <c r="B146" s="60"/>
      <c r="C146" s="22"/>
      <c r="D146" s="4" t="s">
        <v>37</v>
      </c>
      <c r="E146" s="23"/>
      <c r="F146" s="32"/>
      <c r="G146" s="28"/>
      <c r="H146" s="29"/>
      <c r="I146" s="26"/>
      <c r="J146" s="23"/>
      <c r="K146" s="23"/>
      <c r="L146" s="23"/>
      <c r="M146" s="23"/>
      <c r="N146" s="23"/>
      <c r="O146" s="16"/>
      <c r="P146" s="23"/>
      <c r="Q146" s="28"/>
      <c r="R146" s="32"/>
      <c r="S146" s="28"/>
      <c r="T146" s="65"/>
      <c r="U146" s="26"/>
      <c r="V146" s="23"/>
      <c r="W146" s="23"/>
      <c r="X146" s="23"/>
      <c r="Y146" s="23"/>
      <c r="Z146" s="23"/>
      <c r="AA146" s="16"/>
      <c r="AB146" s="23"/>
      <c r="AC146" s="28"/>
      <c r="AD146" s="32"/>
      <c r="AE146" s="28"/>
      <c r="AF146" s="29"/>
      <c r="AG146" s="26"/>
      <c r="AH146" s="23"/>
      <c r="AI146" s="23"/>
      <c r="AJ146" s="23"/>
      <c r="AK146" s="23"/>
      <c r="AL146" s="23"/>
    </row>
    <row r="147" spans="1:39" ht="17.25" customHeight="1" x14ac:dyDescent="0.2">
      <c r="A147" s="48"/>
      <c r="B147" s="60"/>
      <c r="C147" s="77"/>
      <c r="D147" s="15"/>
      <c r="E147" s="14"/>
      <c r="F147" s="15"/>
      <c r="G147" s="16"/>
      <c r="H147" s="15"/>
      <c r="I147" s="17"/>
      <c r="J147" s="17"/>
      <c r="K147" s="17"/>
      <c r="L147" s="17"/>
      <c r="M147" s="17"/>
      <c r="N147" s="17"/>
      <c r="O147" s="15"/>
      <c r="P147" s="14"/>
      <c r="Q147" s="16"/>
      <c r="R147" s="15"/>
      <c r="S147" s="16"/>
      <c r="T147" s="15"/>
      <c r="U147" s="17"/>
      <c r="V147" s="17"/>
      <c r="W147" s="17"/>
      <c r="X147" s="17"/>
      <c r="Y147" s="17"/>
      <c r="Z147" s="17"/>
      <c r="AA147" s="15"/>
      <c r="AB147" s="14"/>
      <c r="AC147" s="16"/>
      <c r="AD147" s="15"/>
      <c r="AE147" s="16"/>
      <c r="AF147" s="15"/>
      <c r="AG147" s="17"/>
      <c r="AH147" s="17"/>
      <c r="AI147" s="17"/>
      <c r="AJ147" s="17"/>
      <c r="AK147" s="17"/>
      <c r="AL147" s="17"/>
      <c r="AM147" s="15"/>
    </row>
    <row r="148" spans="1:39" ht="17.25" customHeight="1" x14ac:dyDescent="0.2">
      <c r="A148" s="50">
        <v>46153</v>
      </c>
      <c r="B148" s="60"/>
      <c r="C148" s="22"/>
      <c r="D148" s="4" t="s">
        <v>19</v>
      </c>
      <c r="E148" s="23"/>
      <c r="F148" s="32"/>
      <c r="G148" s="28"/>
      <c r="H148" s="30"/>
      <c r="I148" s="26"/>
      <c r="J148" s="23"/>
      <c r="K148" s="23"/>
      <c r="L148" s="23"/>
      <c r="M148" s="23"/>
      <c r="N148" s="23"/>
      <c r="O148" s="16"/>
      <c r="P148" s="23"/>
      <c r="Q148" s="28"/>
      <c r="R148" s="32"/>
      <c r="S148" s="37"/>
      <c r="T148" s="74"/>
      <c r="U148" s="26"/>
      <c r="V148" s="23"/>
      <c r="W148" s="23"/>
      <c r="X148" s="23"/>
      <c r="Y148" s="23"/>
      <c r="Z148" s="23"/>
      <c r="AA148" s="16"/>
      <c r="AB148" s="23"/>
      <c r="AC148" s="28"/>
      <c r="AD148" s="32"/>
      <c r="AE148" s="28"/>
      <c r="AF148" s="29"/>
      <c r="AG148" s="26"/>
      <c r="AH148" s="23"/>
      <c r="AI148" s="23"/>
      <c r="AJ148" s="23"/>
      <c r="AK148" s="23"/>
      <c r="AL148" s="23"/>
    </row>
    <row r="149" spans="1:39" ht="17.25" customHeight="1" x14ac:dyDescent="0.2">
      <c r="A149" s="50">
        <v>46154</v>
      </c>
      <c r="B149" s="60"/>
      <c r="C149" s="22"/>
      <c r="D149" s="4" t="s">
        <v>27</v>
      </c>
      <c r="E149" s="23"/>
      <c r="F149" s="32"/>
      <c r="G149" s="37"/>
      <c r="H149" s="30"/>
      <c r="I149" s="26"/>
      <c r="J149" s="23"/>
      <c r="K149" s="23"/>
      <c r="L149" s="23"/>
      <c r="M149" s="23"/>
      <c r="N149" s="23"/>
      <c r="O149" s="16"/>
      <c r="P149" s="23"/>
      <c r="Q149" s="28"/>
      <c r="R149" s="32"/>
      <c r="S149" s="89"/>
      <c r="T149" s="88"/>
      <c r="U149" s="26"/>
      <c r="V149" s="23"/>
      <c r="W149" s="23"/>
      <c r="X149" s="23"/>
      <c r="Y149" s="23"/>
      <c r="Z149" s="23"/>
      <c r="AA149" s="16"/>
      <c r="AB149" s="23"/>
      <c r="AC149" s="28"/>
      <c r="AD149" s="32"/>
      <c r="AE149" s="58"/>
      <c r="AF149" s="98"/>
      <c r="AG149" s="26"/>
      <c r="AH149" s="23"/>
      <c r="AI149" s="23"/>
      <c r="AJ149" s="23"/>
      <c r="AK149" s="23"/>
      <c r="AL149" s="23"/>
    </row>
    <row r="150" spans="1:39" ht="17.25" customHeight="1" x14ac:dyDescent="0.2">
      <c r="A150" s="50">
        <v>46155</v>
      </c>
      <c r="B150" s="60"/>
      <c r="C150" s="22"/>
      <c r="D150" s="4" t="s">
        <v>31</v>
      </c>
      <c r="E150" s="23"/>
      <c r="F150" s="32"/>
      <c r="G150" s="97"/>
      <c r="H150" s="30"/>
      <c r="I150" s="26"/>
      <c r="J150" s="23"/>
      <c r="K150" s="23"/>
      <c r="L150" s="23"/>
      <c r="M150" s="23"/>
      <c r="N150" s="23"/>
      <c r="O150" s="16"/>
      <c r="P150" s="23"/>
      <c r="Q150" s="28"/>
      <c r="R150" s="32"/>
      <c r="S150" s="28"/>
      <c r="T150" s="74"/>
      <c r="U150" s="26"/>
      <c r="V150" s="23"/>
      <c r="W150" s="23"/>
      <c r="X150" s="23"/>
      <c r="Y150" s="23"/>
      <c r="Z150" s="23"/>
      <c r="AA150" s="16"/>
      <c r="AB150" s="23"/>
      <c r="AC150" s="28"/>
      <c r="AD150" s="32"/>
      <c r="AE150" s="58"/>
      <c r="AF150" s="66"/>
      <c r="AG150" s="26"/>
      <c r="AH150" s="23"/>
      <c r="AI150" s="23"/>
      <c r="AJ150" s="23"/>
      <c r="AK150" s="23"/>
      <c r="AL150" s="23"/>
    </row>
    <row r="151" spans="1:39" ht="17.25" customHeight="1" x14ac:dyDescent="0.2">
      <c r="A151" s="50">
        <v>46156</v>
      </c>
      <c r="B151" s="60"/>
      <c r="C151" s="22">
        <f>C143+1</f>
        <v>20</v>
      </c>
      <c r="D151" s="4" t="s">
        <v>33</v>
      </c>
      <c r="E151" s="23"/>
      <c r="F151" s="32"/>
      <c r="G151" s="28"/>
      <c r="H151" s="43"/>
      <c r="I151" s="26"/>
      <c r="J151" s="23"/>
      <c r="K151" s="23"/>
      <c r="L151" s="23"/>
      <c r="M151" s="23"/>
      <c r="N151" s="23"/>
      <c r="O151" s="16"/>
      <c r="P151" s="23"/>
      <c r="Q151" s="28"/>
      <c r="R151" s="32"/>
      <c r="S151" s="28"/>
      <c r="T151" s="74"/>
      <c r="U151" s="26"/>
      <c r="V151" s="23"/>
      <c r="W151" s="23"/>
      <c r="X151" s="23"/>
      <c r="Y151" s="23"/>
      <c r="Z151" s="23"/>
      <c r="AA151" s="16"/>
      <c r="AB151" s="23"/>
      <c r="AC151" s="28"/>
      <c r="AD151" s="32"/>
      <c r="AE151" s="58"/>
      <c r="AF151" s="80"/>
      <c r="AG151" s="26"/>
      <c r="AH151" s="23"/>
      <c r="AI151" s="23"/>
      <c r="AJ151" s="23"/>
      <c r="AK151" s="23"/>
      <c r="AL151" s="23"/>
    </row>
    <row r="152" spans="1:39" ht="17.25" customHeight="1" x14ac:dyDescent="0.2">
      <c r="A152" s="50">
        <v>46157</v>
      </c>
      <c r="B152" s="60"/>
      <c r="C152" s="22"/>
      <c r="D152" s="4" t="s">
        <v>35</v>
      </c>
      <c r="E152" s="23"/>
      <c r="F152" s="32"/>
      <c r="G152" s="28"/>
      <c r="H152" s="30"/>
      <c r="I152" s="26"/>
      <c r="J152" s="23"/>
      <c r="K152" s="23"/>
      <c r="L152" s="23"/>
      <c r="M152" s="23"/>
      <c r="N152" s="23"/>
      <c r="O152" s="16"/>
      <c r="P152" s="23"/>
      <c r="Q152" s="28"/>
      <c r="R152" s="32"/>
      <c r="S152" s="26"/>
      <c r="T152" s="65"/>
      <c r="U152" s="26"/>
      <c r="V152" s="23"/>
      <c r="W152" s="23"/>
      <c r="X152" s="23"/>
      <c r="Y152" s="23"/>
      <c r="Z152" s="23"/>
      <c r="AA152" s="16"/>
      <c r="AB152" s="23"/>
      <c r="AC152" s="28"/>
      <c r="AD152" s="32"/>
      <c r="AE152" s="58"/>
      <c r="AF152" s="59"/>
      <c r="AG152" s="26"/>
      <c r="AH152" s="23"/>
      <c r="AI152" s="23"/>
      <c r="AJ152" s="23"/>
      <c r="AK152" s="23"/>
      <c r="AL152" s="23"/>
    </row>
    <row r="153" spans="1:39" ht="17.25" customHeight="1" x14ac:dyDescent="0.2">
      <c r="A153" s="50">
        <v>46158</v>
      </c>
      <c r="B153" s="60"/>
      <c r="C153" s="22"/>
      <c r="D153" s="4" t="s">
        <v>36</v>
      </c>
      <c r="E153" s="23"/>
      <c r="F153" s="32"/>
      <c r="G153" s="28"/>
      <c r="H153" s="29"/>
      <c r="I153" s="26"/>
      <c r="J153" s="23"/>
      <c r="K153" s="23"/>
      <c r="L153" s="23"/>
      <c r="M153" s="23"/>
      <c r="N153" s="23"/>
      <c r="O153" s="16"/>
      <c r="P153" s="23"/>
      <c r="Q153" s="28"/>
      <c r="R153" s="32"/>
      <c r="S153" s="28"/>
      <c r="T153" s="74"/>
      <c r="U153" s="26"/>
      <c r="V153" s="23"/>
      <c r="W153" s="23"/>
      <c r="X153" s="23"/>
      <c r="Y153" s="23"/>
      <c r="Z153" s="23"/>
      <c r="AA153" s="16"/>
      <c r="AB153" s="23"/>
      <c r="AC153" s="28"/>
      <c r="AD153" s="32"/>
      <c r="AE153" s="28"/>
      <c r="AF153" s="29"/>
      <c r="AG153" s="26"/>
      <c r="AH153" s="23"/>
      <c r="AI153" s="23"/>
      <c r="AJ153" s="23"/>
      <c r="AK153" s="23"/>
      <c r="AL153" s="23"/>
    </row>
    <row r="154" spans="1:39" ht="17.25" customHeight="1" x14ac:dyDescent="0.2">
      <c r="A154" s="50">
        <v>46159</v>
      </c>
      <c r="B154" s="60"/>
      <c r="C154" s="22"/>
      <c r="D154" s="4" t="s">
        <v>37</v>
      </c>
      <c r="E154" s="23"/>
      <c r="F154" s="32"/>
      <c r="G154" s="28"/>
      <c r="H154" s="29"/>
      <c r="I154" s="26"/>
      <c r="J154" s="23"/>
      <c r="K154" s="23"/>
      <c r="L154" s="23"/>
      <c r="M154" s="23"/>
      <c r="N154" s="23"/>
      <c r="O154" s="16"/>
      <c r="P154" s="23"/>
      <c r="Q154" s="28"/>
      <c r="R154" s="32"/>
      <c r="S154" s="28"/>
      <c r="T154" s="65"/>
      <c r="U154" s="26"/>
      <c r="V154" s="23"/>
      <c r="W154" s="23"/>
      <c r="X154" s="23"/>
      <c r="Y154" s="23"/>
      <c r="Z154" s="23"/>
      <c r="AA154" s="16"/>
      <c r="AB154" s="23"/>
      <c r="AC154" s="28"/>
      <c r="AD154" s="32"/>
      <c r="AE154" s="28"/>
      <c r="AF154" s="29"/>
      <c r="AG154" s="26"/>
      <c r="AH154" s="23"/>
      <c r="AI154" s="23"/>
      <c r="AJ154" s="23"/>
      <c r="AK154" s="23"/>
      <c r="AL154" s="23"/>
    </row>
    <row r="155" spans="1:39" ht="17.25" customHeight="1" x14ac:dyDescent="0.2">
      <c r="A155" s="48"/>
      <c r="B155" s="60"/>
      <c r="C155" s="77"/>
      <c r="D155" s="15"/>
      <c r="E155" s="14"/>
      <c r="F155" s="15"/>
      <c r="G155" s="16"/>
      <c r="H155" s="15"/>
      <c r="I155" s="17"/>
      <c r="J155" s="17"/>
      <c r="K155" s="17"/>
      <c r="L155" s="17"/>
      <c r="M155" s="17"/>
      <c r="N155" s="17"/>
      <c r="O155" s="15"/>
      <c r="P155" s="14"/>
      <c r="Q155" s="16"/>
      <c r="R155" s="15"/>
      <c r="S155" s="16"/>
      <c r="T155" s="15"/>
      <c r="U155" s="17"/>
      <c r="V155" s="17"/>
      <c r="W155" s="17"/>
      <c r="X155" s="17"/>
      <c r="Y155" s="17"/>
      <c r="Z155" s="17"/>
      <c r="AA155" s="15"/>
      <c r="AB155" s="14"/>
      <c r="AC155" s="16"/>
      <c r="AD155" s="15"/>
      <c r="AE155" s="16"/>
      <c r="AF155" s="15"/>
      <c r="AG155" s="17"/>
      <c r="AH155" s="17"/>
      <c r="AI155" s="17"/>
      <c r="AJ155" s="17"/>
      <c r="AK155" s="17"/>
      <c r="AL155" s="17"/>
      <c r="AM155" s="15"/>
    </row>
    <row r="156" spans="1:39" ht="17.25" customHeight="1" x14ac:dyDescent="0.2">
      <c r="A156" s="50">
        <v>46160</v>
      </c>
      <c r="B156" s="60"/>
      <c r="C156" s="22"/>
      <c r="D156" s="4" t="s">
        <v>19</v>
      </c>
      <c r="E156" s="23"/>
      <c r="F156" s="32"/>
      <c r="G156" s="28"/>
      <c r="H156" s="30"/>
      <c r="I156" s="26"/>
      <c r="J156" s="23"/>
      <c r="K156" s="23"/>
      <c r="L156" s="23"/>
      <c r="M156" s="23"/>
      <c r="N156" s="23"/>
      <c r="O156" s="16"/>
      <c r="P156" s="23"/>
      <c r="Q156" s="28"/>
      <c r="R156" s="32"/>
      <c r="S156" s="37"/>
      <c r="T156" s="74"/>
      <c r="U156" s="26"/>
      <c r="V156" s="23"/>
      <c r="W156" s="23"/>
      <c r="X156" s="23"/>
      <c r="Y156" s="23"/>
      <c r="Z156" s="23"/>
      <c r="AA156" s="16"/>
      <c r="AB156" s="23"/>
      <c r="AC156" s="28"/>
      <c r="AD156" s="32"/>
      <c r="AE156" s="28"/>
      <c r="AF156" s="29"/>
      <c r="AG156" s="26"/>
      <c r="AH156" s="23"/>
      <c r="AI156" s="23"/>
      <c r="AJ156" s="23"/>
      <c r="AK156" s="23"/>
      <c r="AL156" s="23"/>
    </row>
    <row r="157" spans="1:39" ht="17.25" customHeight="1" x14ac:dyDescent="0.2">
      <c r="A157" s="50">
        <v>46161</v>
      </c>
      <c r="B157" s="60" t="s">
        <v>189</v>
      </c>
      <c r="C157" s="22"/>
      <c r="D157" s="4" t="s">
        <v>27</v>
      </c>
      <c r="E157" s="23"/>
      <c r="F157" s="32"/>
      <c r="G157" s="28"/>
      <c r="H157" s="30"/>
      <c r="I157" s="26"/>
      <c r="J157" s="23"/>
      <c r="K157" s="23"/>
      <c r="L157" s="23"/>
      <c r="M157" s="23"/>
      <c r="N157" s="23"/>
      <c r="O157" s="16"/>
      <c r="P157" s="23"/>
      <c r="Q157" s="28"/>
      <c r="R157" s="32"/>
      <c r="S157" s="28"/>
      <c r="T157" s="88"/>
      <c r="U157" s="26"/>
      <c r="V157" s="23"/>
      <c r="W157" s="23"/>
      <c r="X157" s="23"/>
      <c r="Y157" s="23"/>
      <c r="Z157" s="23"/>
      <c r="AA157" s="16"/>
      <c r="AB157" s="23"/>
      <c r="AC157" s="28"/>
      <c r="AD157" s="32"/>
      <c r="AE157" s="28"/>
      <c r="AF157" s="30"/>
      <c r="AG157" s="26"/>
      <c r="AH157" s="23"/>
      <c r="AI157" s="23"/>
      <c r="AJ157" s="23"/>
      <c r="AK157" s="23"/>
      <c r="AL157" s="23"/>
    </row>
    <row r="158" spans="1:39" ht="17.25" customHeight="1" x14ac:dyDescent="0.2">
      <c r="A158" s="50">
        <v>46162</v>
      </c>
      <c r="B158" s="60"/>
      <c r="C158" s="22"/>
      <c r="D158" s="4" t="s">
        <v>31</v>
      </c>
      <c r="E158" s="23"/>
      <c r="F158" s="32"/>
      <c r="G158" s="28"/>
      <c r="H158" s="30"/>
      <c r="I158" s="26"/>
      <c r="J158" s="23"/>
      <c r="K158" s="23"/>
      <c r="L158" s="23"/>
      <c r="M158" s="23"/>
      <c r="N158" s="23"/>
      <c r="O158" s="16"/>
      <c r="P158" s="23"/>
      <c r="Q158" s="28"/>
      <c r="R158" s="32"/>
      <c r="S158" s="58"/>
      <c r="T158" s="74"/>
      <c r="U158" s="26"/>
      <c r="V158" s="23"/>
      <c r="W158" s="23"/>
      <c r="X158" s="23"/>
      <c r="Y158" s="23"/>
      <c r="Z158" s="23"/>
      <c r="AA158" s="16"/>
      <c r="AB158" s="23"/>
      <c r="AC158" s="28"/>
      <c r="AD158" s="32"/>
      <c r="AE158" s="28"/>
      <c r="AF158" s="29"/>
      <c r="AG158" s="26"/>
      <c r="AH158" s="23"/>
      <c r="AI158" s="23"/>
      <c r="AJ158" s="23"/>
      <c r="AK158" s="23"/>
      <c r="AL158" s="23"/>
    </row>
    <row r="159" spans="1:39" ht="17.25" customHeight="1" x14ac:dyDescent="0.2">
      <c r="A159" s="50">
        <v>46163</v>
      </c>
      <c r="B159" s="60"/>
      <c r="C159" s="22">
        <f>C151+1</f>
        <v>21</v>
      </c>
      <c r="D159" s="4" t="s">
        <v>33</v>
      </c>
      <c r="E159" s="23"/>
      <c r="F159" s="32"/>
      <c r="G159" s="28"/>
      <c r="H159" s="43"/>
      <c r="I159" s="26"/>
      <c r="J159" s="23"/>
      <c r="K159" s="23"/>
      <c r="L159" s="23"/>
      <c r="M159" s="23"/>
      <c r="N159" s="23"/>
      <c r="O159" s="16"/>
      <c r="P159" s="23"/>
      <c r="Q159" s="28"/>
      <c r="R159" s="32"/>
      <c r="S159" s="28"/>
      <c r="T159" s="74"/>
      <c r="U159" s="26"/>
      <c r="V159" s="23"/>
      <c r="W159" s="23"/>
      <c r="X159" s="23"/>
      <c r="Y159" s="23"/>
      <c r="Z159" s="23"/>
      <c r="AA159" s="16"/>
      <c r="AB159" s="23"/>
      <c r="AC159" s="28"/>
      <c r="AD159" s="32"/>
      <c r="AE159" s="58"/>
      <c r="AF159" s="29"/>
      <c r="AG159" s="26"/>
      <c r="AH159" s="23"/>
      <c r="AI159" s="23"/>
      <c r="AJ159" s="23"/>
      <c r="AK159" s="23"/>
      <c r="AL159" s="23"/>
    </row>
    <row r="160" spans="1:39" ht="17.25" customHeight="1" x14ac:dyDescent="0.2">
      <c r="A160" s="50">
        <v>46164</v>
      </c>
      <c r="B160" s="60"/>
      <c r="C160" s="22"/>
      <c r="D160" s="4" t="s">
        <v>35</v>
      </c>
      <c r="E160" s="23"/>
      <c r="F160" s="32"/>
      <c r="G160" s="28"/>
      <c r="H160" s="30"/>
      <c r="I160" s="26"/>
      <c r="J160" s="23"/>
      <c r="K160" s="23"/>
      <c r="L160" s="23"/>
      <c r="M160" s="23"/>
      <c r="N160" s="23"/>
      <c r="O160" s="16"/>
      <c r="P160" s="23"/>
      <c r="Q160" s="28"/>
      <c r="R160" s="32"/>
      <c r="S160" s="37"/>
      <c r="T160" s="65"/>
      <c r="U160" s="26"/>
      <c r="V160" s="23"/>
      <c r="W160" s="23"/>
      <c r="X160" s="23"/>
      <c r="Y160" s="23"/>
      <c r="Z160" s="23"/>
      <c r="AA160" s="16"/>
      <c r="AB160" s="23"/>
      <c r="AC160" s="28"/>
      <c r="AD160" s="32"/>
      <c r="AE160" s="28"/>
      <c r="AF160" s="29"/>
      <c r="AG160" s="26"/>
      <c r="AH160" s="23"/>
      <c r="AI160" s="23"/>
      <c r="AJ160" s="23"/>
      <c r="AK160" s="23"/>
      <c r="AL160" s="23"/>
    </row>
    <row r="161" spans="1:39" ht="17.25" customHeight="1" x14ac:dyDescent="0.2">
      <c r="A161" s="50">
        <v>46165</v>
      </c>
      <c r="B161" s="60"/>
      <c r="C161" s="22"/>
      <c r="D161" s="4" t="s">
        <v>36</v>
      </c>
      <c r="E161" s="23"/>
      <c r="F161" s="32"/>
      <c r="G161" s="28"/>
      <c r="H161" s="30"/>
      <c r="I161" s="26"/>
      <c r="J161" s="23"/>
      <c r="K161" s="23"/>
      <c r="L161" s="23"/>
      <c r="M161" s="23"/>
      <c r="N161" s="23"/>
      <c r="O161" s="16"/>
      <c r="P161" s="23"/>
      <c r="Q161" s="28"/>
      <c r="R161" s="32"/>
      <c r="S161" s="28"/>
      <c r="T161" s="74"/>
      <c r="U161" s="26"/>
      <c r="V161" s="23"/>
      <c r="W161" s="23"/>
      <c r="X161" s="23"/>
      <c r="Y161" s="23"/>
      <c r="Z161" s="23"/>
      <c r="AA161" s="16"/>
      <c r="AB161" s="23"/>
      <c r="AC161" s="28"/>
      <c r="AD161" s="32"/>
      <c r="AE161" s="28"/>
      <c r="AF161" s="29"/>
      <c r="AG161" s="26"/>
      <c r="AH161" s="23"/>
      <c r="AI161" s="23"/>
      <c r="AJ161" s="23"/>
      <c r="AK161" s="23"/>
      <c r="AL161" s="23"/>
    </row>
    <row r="162" spans="1:39" ht="17.25" customHeight="1" x14ac:dyDescent="0.2">
      <c r="A162" s="50">
        <v>46166</v>
      </c>
      <c r="B162" s="60"/>
      <c r="C162" s="22"/>
      <c r="D162" s="4" t="s">
        <v>37</v>
      </c>
      <c r="E162" s="23"/>
      <c r="F162" s="32"/>
      <c r="G162" s="28"/>
      <c r="H162" s="29"/>
      <c r="I162" s="26"/>
      <c r="J162" s="23"/>
      <c r="K162" s="23"/>
      <c r="L162" s="23"/>
      <c r="M162" s="23"/>
      <c r="N162" s="23"/>
      <c r="O162" s="16"/>
      <c r="P162" s="23"/>
      <c r="Q162" s="28"/>
      <c r="R162" s="32"/>
      <c r="S162" s="28"/>
      <c r="T162" s="65"/>
      <c r="U162" s="26"/>
      <c r="V162" s="23"/>
      <c r="W162" s="23"/>
      <c r="X162" s="23"/>
      <c r="Y162" s="23"/>
      <c r="Z162" s="23"/>
      <c r="AA162" s="16"/>
      <c r="AB162" s="23"/>
      <c r="AC162" s="28"/>
      <c r="AD162" s="32"/>
      <c r="AE162" s="28"/>
      <c r="AF162" s="29"/>
      <c r="AG162" s="26"/>
      <c r="AH162" s="23"/>
      <c r="AI162" s="23"/>
      <c r="AJ162" s="23"/>
      <c r="AK162" s="23"/>
      <c r="AL162" s="23"/>
    </row>
    <row r="163" spans="1:39" ht="17.25" customHeight="1" x14ac:dyDescent="0.2">
      <c r="A163" s="48"/>
      <c r="B163" s="60"/>
      <c r="C163" s="77"/>
      <c r="D163" s="15"/>
      <c r="E163" s="14"/>
      <c r="F163" s="15"/>
      <c r="G163" s="16"/>
      <c r="H163" s="15"/>
      <c r="I163" s="17"/>
      <c r="J163" s="17"/>
      <c r="K163" s="17"/>
      <c r="L163" s="17"/>
      <c r="M163" s="17"/>
      <c r="N163" s="17"/>
      <c r="O163" s="15"/>
      <c r="P163" s="14"/>
      <c r="Q163" s="16"/>
      <c r="R163" s="15"/>
      <c r="S163" s="16"/>
      <c r="T163" s="15"/>
      <c r="U163" s="17"/>
      <c r="V163" s="17"/>
      <c r="W163" s="17"/>
      <c r="X163" s="17"/>
      <c r="Y163" s="17"/>
      <c r="Z163" s="17"/>
      <c r="AA163" s="15"/>
      <c r="AB163" s="14"/>
      <c r="AC163" s="16"/>
      <c r="AD163" s="15"/>
      <c r="AE163" s="16"/>
      <c r="AF163" s="15"/>
      <c r="AG163" s="17"/>
      <c r="AH163" s="17"/>
      <c r="AI163" s="17"/>
      <c r="AJ163" s="17"/>
      <c r="AK163" s="17"/>
      <c r="AL163" s="17"/>
      <c r="AM163" s="15"/>
    </row>
    <row r="164" spans="1:39" ht="17.25" customHeight="1" x14ac:dyDescent="0.2">
      <c r="A164" s="50">
        <v>46167</v>
      </c>
      <c r="B164" s="60"/>
      <c r="C164" s="22"/>
      <c r="D164" s="4" t="s">
        <v>19</v>
      </c>
      <c r="E164" s="23"/>
      <c r="F164" s="32"/>
      <c r="G164" s="28"/>
      <c r="H164" s="30"/>
      <c r="I164" s="26"/>
      <c r="J164" s="23"/>
      <c r="K164" s="23"/>
      <c r="L164" s="23"/>
      <c r="M164" s="23"/>
      <c r="N164" s="23"/>
      <c r="O164" s="16"/>
      <c r="P164" s="23"/>
      <c r="Q164" s="28"/>
      <c r="R164" s="32"/>
      <c r="S164" s="28"/>
      <c r="T164" s="74"/>
      <c r="U164" s="26"/>
      <c r="V164" s="23"/>
      <c r="W164" s="23"/>
      <c r="X164" s="23"/>
      <c r="Y164" s="23"/>
      <c r="Z164" s="23"/>
      <c r="AA164" s="16"/>
      <c r="AB164" s="23"/>
      <c r="AC164" s="28"/>
      <c r="AD164" s="32"/>
      <c r="AE164" s="58"/>
      <c r="AF164" s="29"/>
      <c r="AG164" s="26"/>
      <c r="AH164" s="23"/>
      <c r="AI164" s="23"/>
      <c r="AJ164" s="23"/>
      <c r="AK164" s="23"/>
      <c r="AL164" s="23"/>
    </row>
    <row r="165" spans="1:39" ht="17.25" customHeight="1" x14ac:dyDescent="0.2">
      <c r="A165" s="50">
        <v>46168</v>
      </c>
      <c r="B165" s="60"/>
      <c r="C165" s="33"/>
      <c r="D165" s="4" t="s">
        <v>27</v>
      </c>
      <c r="E165" s="23"/>
      <c r="F165" s="32"/>
      <c r="G165" s="97"/>
      <c r="H165" s="30"/>
      <c r="I165" s="26"/>
      <c r="J165" s="23"/>
      <c r="K165" s="23"/>
      <c r="L165" s="23"/>
      <c r="M165" s="23"/>
      <c r="N165" s="23"/>
      <c r="O165" s="16"/>
      <c r="P165" s="23"/>
      <c r="Q165" s="58"/>
      <c r="R165" s="32"/>
      <c r="S165" s="28"/>
      <c r="T165" s="88"/>
      <c r="U165" s="26"/>
      <c r="V165" s="23"/>
      <c r="W165" s="23"/>
      <c r="X165" s="23"/>
      <c r="Y165" s="23"/>
      <c r="Z165" s="23"/>
      <c r="AA165" s="16"/>
      <c r="AB165" s="23"/>
      <c r="AC165" s="58"/>
      <c r="AD165" s="32"/>
      <c r="AE165" s="28"/>
      <c r="AF165" s="29"/>
      <c r="AG165" s="26"/>
      <c r="AH165" s="23"/>
      <c r="AI165" s="23"/>
      <c r="AJ165" s="23"/>
      <c r="AK165" s="23"/>
      <c r="AL165" s="23"/>
    </row>
    <row r="166" spans="1:39" ht="17.25" customHeight="1" x14ac:dyDescent="0.2">
      <c r="A166" s="50">
        <v>46169</v>
      </c>
      <c r="B166" s="60"/>
      <c r="C166" s="33"/>
      <c r="D166" s="4" t="s">
        <v>31</v>
      </c>
      <c r="E166" s="23"/>
      <c r="F166" s="32"/>
      <c r="G166" s="28"/>
      <c r="H166" s="30"/>
      <c r="I166" s="26"/>
      <c r="J166" s="23"/>
      <c r="K166" s="23"/>
      <c r="L166" s="23"/>
      <c r="M166" s="23"/>
      <c r="N166" s="23"/>
      <c r="O166" s="16"/>
      <c r="P166" s="23"/>
      <c r="Q166" s="28"/>
      <c r="R166" s="32"/>
      <c r="S166" s="28"/>
      <c r="T166" s="74"/>
      <c r="U166" s="26"/>
      <c r="V166" s="23"/>
      <c r="W166" s="23"/>
      <c r="X166" s="23"/>
      <c r="Y166" s="23"/>
      <c r="Z166" s="23"/>
      <c r="AA166" s="16"/>
      <c r="AB166" s="23"/>
      <c r="AC166" s="28"/>
      <c r="AD166" s="32"/>
      <c r="AE166" s="28"/>
      <c r="AF166" s="30"/>
      <c r="AG166" s="26"/>
      <c r="AH166" s="23"/>
      <c r="AI166" s="23"/>
      <c r="AJ166" s="23"/>
      <c r="AK166" s="23"/>
      <c r="AL166" s="23"/>
    </row>
    <row r="167" spans="1:39" ht="17.25" customHeight="1" x14ac:dyDescent="0.2">
      <c r="A167" s="50">
        <v>46170</v>
      </c>
      <c r="B167" s="60"/>
      <c r="C167" s="22">
        <f>C159+1</f>
        <v>22</v>
      </c>
      <c r="D167" s="4" t="s">
        <v>33</v>
      </c>
      <c r="E167" s="23"/>
      <c r="F167" s="32"/>
      <c r="G167" s="28"/>
      <c r="H167" s="30"/>
      <c r="I167" s="26"/>
      <c r="J167" s="23"/>
      <c r="K167" s="23"/>
      <c r="L167" s="23"/>
      <c r="M167" s="23"/>
      <c r="N167" s="23"/>
      <c r="O167" s="16"/>
      <c r="P167" s="23"/>
      <c r="Q167" s="28"/>
      <c r="R167" s="32"/>
      <c r="S167" s="28"/>
      <c r="T167" s="74"/>
      <c r="U167" s="26"/>
      <c r="V167" s="23"/>
      <c r="W167" s="23"/>
      <c r="X167" s="23"/>
      <c r="Y167" s="23"/>
      <c r="Z167" s="23"/>
      <c r="AA167" s="16"/>
      <c r="AB167" s="23"/>
      <c r="AC167" s="28"/>
      <c r="AD167" s="32"/>
      <c r="AE167" s="28"/>
      <c r="AF167" s="29"/>
      <c r="AG167" s="26"/>
      <c r="AH167" s="23"/>
      <c r="AI167" s="23"/>
      <c r="AJ167" s="23"/>
      <c r="AK167" s="23"/>
      <c r="AL167" s="23"/>
    </row>
    <row r="168" spans="1:39" ht="17.25" customHeight="1" x14ac:dyDescent="0.2">
      <c r="A168" s="50">
        <v>46171</v>
      </c>
      <c r="B168" s="60"/>
      <c r="C168" s="33"/>
      <c r="D168" s="4" t="s">
        <v>35</v>
      </c>
      <c r="E168" s="23"/>
      <c r="F168" s="32"/>
      <c r="G168" s="28"/>
      <c r="H168" s="30"/>
      <c r="I168" s="26"/>
      <c r="J168" s="23"/>
      <c r="K168" s="23"/>
      <c r="L168" s="23"/>
      <c r="M168" s="23"/>
      <c r="N168" s="23"/>
      <c r="O168" s="16"/>
      <c r="P168" s="23"/>
      <c r="Q168" s="28"/>
      <c r="R168" s="32"/>
      <c r="S168" s="28"/>
      <c r="T168" s="65"/>
      <c r="U168" s="26"/>
      <c r="V168" s="23"/>
      <c r="W168" s="23"/>
      <c r="X168" s="23"/>
      <c r="Y168" s="23"/>
      <c r="Z168" s="23"/>
      <c r="AA168" s="16"/>
      <c r="AB168" s="23"/>
      <c r="AC168" s="28"/>
      <c r="AD168" s="32"/>
      <c r="AE168" s="28"/>
      <c r="AF168" s="29"/>
      <c r="AG168" s="26"/>
      <c r="AH168" s="23"/>
      <c r="AI168" s="23"/>
      <c r="AJ168" s="23"/>
      <c r="AK168" s="23"/>
      <c r="AL168" s="23"/>
    </row>
    <row r="169" spans="1:39" ht="17.25" customHeight="1" x14ac:dyDescent="0.2">
      <c r="A169" s="50">
        <v>46172</v>
      </c>
      <c r="B169" s="60"/>
      <c r="C169" s="22"/>
      <c r="D169" s="4" t="s">
        <v>36</v>
      </c>
      <c r="E169" s="23"/>
      <c r="F169" s="32"/>
      <c r="G169" s="28"/>
      <c r="H169" s="74"/>
      <c r="I169" s="26"/>
      <c r="J169" s="23"/>
      <c r="K169" s="23"/>
      <c r="L169" s="23"/>
      <c r="M169" s="23"/>
      <c r="N169" s="23"/>
      <c r="O169" s="16"/>
      <c r="P169" s="23"/>
      <c r="Q169" s="28"/>
      <c r="R169" s="32"/>
      <c r="S169" s="28"/>
      <c r="T169" s="74"/>
      <c r="U169" s="26"/>
      <c r="V169" s="23"/>
      <c r="W169" s="23"/>
      <c r="X169" s="23"/>
      <c r="Y169" s="23"/>
      <c r="Z169" s="23"/>
      <c r="AB169" s="23"/>
      <c r="AC169" s="28"/>
      <c r="AD169" s="32"/>
      <c r="AE169" s="28"/>
      <c r="AF169" s="29"/>
      <c r="AG169" s="26"/>
      <c r="AH169" s="23"/>
      <c r="AI169" s="23"/>
      <c r="AJ169" s="23"/>
      <c r="AK169" s="23"/>
      <c r="AL169" s="23"/>
    </row>
    <row r="170" spans="1:39" ht="17.25" customHeight="1" x14ac:dyDescent="0.2">
      <c r="A170" s="50">
        <v>46173</v>
      </c>
      <c r="B170" s="60"/>
      <c r="C170" s="22"/>
      <c r="D170" s="4" t="s">
        <v>37</v>
      </c>
      <c r="E170" s="23"/>
      <c r="F170" s="32"/>
      <c r="G170" s="28"/>
      <c r="H170" s="29"/>
      <c r="I170" s="26"/>
      <c r="J170" s="23"/>
      <c r="K170" s="23"/>
      <c r="L170" s="23"/>
      <c r="M170" s="23"/>
      <c r="N170" s="23"/>
      <c r="O170" s="16"/>
      <c r="P170" s="23"/>
      <c r="Q170" s="28"/>
      <c r="R170" s="32"/>
      <c r="S170" s="28"/>
      <c r="T170" s="65"/>
      <c r="U170" s="26"/>
      <c r="V170" s="23"/>
      <c r="W170" s="23"/>
      <c r="X170" s="23"/>
      <c r="Y170" s="23"/>
      <c r="Z170" s="23"/>
      <c r="AB170" s="23"/>
      <c r="AC170" s="28"/>
      <c r="AD170" s="32"/>
      <c r="AE170" s="28"/>
      <c r="AF170" s="29"/>
      <c r="AG170" s="26"/>
      <c r="AH170" s="23"/>
      <c r="AI170" s="23"/>
      <c r="AJ170" s="23"/>
      <c r="AK170" s="23"/>
      <c r="AL170" s="23"/>
    </row>
    <row r="171" spans="1:39" ht="17.25" customHeight="1" x14ac:dyDescent="0.2">
      <c r="A171" s="48"/>
      <c r="B171" s="60"/>
      <c r="C171" s="77"/>
      <c r="D171" s="15"/>
      <c r="E171" s="14"/>
      <c r="F171" s="15"/>
      <c r="G171" s="16"/>
      <c r="H171" s="15"/>
      <c r="I171" s="17"/>
      <c r="J171" s="17"/>
      <c r="K171" s="17"/>
      <c r="L171" s="17"/>
      <c r="M171" s="17"/>
      <c r="N171" s="17"/>
      <c r="O171" s="15"/>
      <c r="P171" s="14"/>
      <c r="Q171" s="16"/>
      <c r="R171" s="15"/>
      <c r="S171" s="16"/>
      <c r="T171" s="15"/>
      <c r="U171" s="17"/>
      <c r="V171" s="17"/>
      <c r="W171" s="17"/>
      <c r="X171" s="17"/>
      <c r="Y171" s="17"/>
      <c r="Z171" s="17"/>
      <c r="AA171" s="15"/>
      <c r="AB171" s="14"/>
      <c r="AC171" s="16"/>
      <c r="AD171" s="15"/>
      <c r="AE171" s="16"/>
      <c r="AF171" s="15"/>
      <c r="AG171" s="17"/>
      <c r="AH171" s="17"/>
      <c r="AI171" s="17"/>
      <c r="AJ171" s="17"/>
      <c r="AK171" s="17"/>
      <c r="AL171" s="17"/>
      <c r="AM171" s="15"/>
    </row>
    <row r="172" spans="1:39" ht="17.25" customHeight="1" x14ac:dyDescent="0.2">
      <c r="A172" s="50">
        <v>46174</v>
      </c>
      <c r="B172" s="41" t="s">
        <v>190</v>
      </c>
      <c r="C172" s="33"/>
      <c r="D172" s="4" t="s">
        <v>19</v>
      </c>
      <c r="E172" s="23"/>
      <c r="F172" s="32"/>
      <c r="G172" s="28"/>
      <c r="H172" s="30"/>
      <c r="I172" s="26"/>
      <c r="J172" s="23"/>
      <c r="K172" s="23"/>
      <c r="L172" s="23"/>
      <c r="M172" s="23"/>
      <c r="N172" s="23"/>
      <c r="O172" s="16"/>
      <c r="P172" s="23"/>
      <c r="Q172" s="28"/>
      <c r="R172" s="32"/>
      <c r="S172" s="28"/>
      <c r="T172" s="74"/>
      <c r="U172" s="26"/>
      <c r="V172" s="23"/>
      <c r="W172" s="23"/>
      <c r="X172" s="23"/>
      <c r="Y172" s="23"/>
      <c r="Z172" s="23"/>
      <c r="AB172" s="23"/>
      <c r="AC172" s="28"/>
      <c r="AD172" s="32"/>
      <c r="AE172" s="28"/>
      <c r="AF172" s="29"/>
      <c r="AG172" s="26"/>
      <c r="AH172" s="23"/>
      <c r="AI172" s="23"/>
      <c r="AJ172" s="23"/>
      <c r="AK172" s="23"/>
      <c r="AL172" s="23"/>
    </row>
    <row r="173" spans="1:39" ht="17.25" customHeight="1" x14ac:dyDescent="0.2">
      <c r="A173" s="50">
        <v>46175</v>
      </c>
      <c r="B173" s="60"/>
      <c r="C173" s="33"/>
      <c r="D173" s="4" t="s">
        <v>27</v>
      </c>
      <c r="E173" s="23"/>
      <c r="F173" s="32"/>
      <c r="G173" s="28"/>
      <c r="H173" s="30"/>
      <c r="I173" s="26"/>
      <c r="J173" s="23"/>
      <c r="K173" s="23"/>
      <c r="L173" s="23"/>
      <c r="M173" s="23"/>
      <c r="N173" s="23"/>
      <c r="O173" s="16"/>
      <c r="P173" s="23"/>
      <c r="Q173" s="28"/>
      <c r="R173" s="32"/>
      <c r="S173" s="58"/>
      <c r="T173" s="88"/>
      <c r="U173" s="26"/>
      <c r="V173" s="23"/>
      <c r="W173" s="23"/>
      <c r="X173" s="23"/>
      <c r="Y173" s="23"/>
      <c r="Z173" s="23"/>
      <c r="AB173" s="23"/>
      <c r="AC173" s="28"/>
      <c r="AD173" s="32"/>
      <c r="AE173" s="28"/>
      <c r="AF173" s="29"/>
      <c r="AG173" s="26"/>
      <c r="AH173" s="23"/>
      <c r="AI173" s="23"/>
      <c r="AJ173" s="23"/>
      <c r="AK173" s="23"/>
      <c r="AL173" s="23"/>
    </row>
    <row r="174" spans="1:39" ht="17.25" customHeight="1" x14ac:dyDescent="0.2">
      <c r="A174" s="50">
        <v>46176</v>
      </c>
      <c r="B174" s="60"/>
      <c r="C174" s="33"/>
      <c r="D174" s="4" t="s">
        <v>31</v>
      </c>
      <c r="E174" s="23"/>
      <c r="F174" s="32"/>
      <c r="G174" s="28"/>
      <c r="H174" s="30"/>
      <c r="I174" s="26"/>
      <c r="J174" s="23"/>
      <c r="K174" s="23"/>
      <c r="L174" s="23"/>
      <c r="M174" s="23"/>
      <c r="N174" s="23"/>
      <c r="O174" s="16"/>
      <c r="P174" s="23"/>
      <c r="Q174" s="28"/>
      <c r="R174" s="32"/>
      <c r="S174" s="28"/>
      <c r="T174" s="74"/>
      <c r="U174" s="26"/>
      <c r="V174" s="23"/>
      <c r="W174" s="23"/>
      <c r="X174" s="23"/>
      <c r="Y174" s="23"/>
      <c r="Z174" s="23"/>
      <c r="AB174" s="23"/>
      <c r="AC174" s="28"/>
      <c r="AD174" s="32"/>
      <c r="AE174" s="28"/>
      <c r="AF174" s="30"/>
      <c r="AG174" s="26"/>
      <c r="AH174" s="23"/>
      <c r="AI174" s="23"/>
      <c r="AJ174" s="23"/>
      <c r="AK174" s="23"/>
      <c r="AL174" s="23"/>
    </row>
    <row r="175" spans="1:39" ht="17.25" customHeight="1" x14ac:dyDescent="0.2">
      <c r="A175" s="50">
        <v>46177</v>
      </c>
      <c r="B175" s="60"/>
      <c r="C175" s="22">
        <f>C167+1</f>
        <v>23</v>
      </c>
      <c r="D175" s="4" t="s">
        <v>33</v>
      </c>
      <c r="E175" s="23"/>
      <c r="F175" s="32"/>
      <c r="G175" s="28"/>
      <c r="H175" s="30"/>
      <c r="I175" s="26"/>
      <c r="J175" s="23"/>
      <c r="K175" s="23"/>
      <c r="L175" s="23"/>
      <c r="M175" s="23"/>
      <c r="N175" s="23"/>
      <c r="O175" s="16"/>
      <c r="P175" s="23"/>
      <c r="Q175" s="28"/>
      <c r="R175" s="32"/>
      <c r="S175" s="37"/>
      <c r="T175" s="74"/>
      <c r="U175" s="26"/>
      <c r="V175" s="23"/>
      <c r="W175" s="23"/>
      <c r="X175" s="23"/>
      <c r="Y175" s="23"/>
      <c r="Z175" s="23"/>
      <c r="AB175" s="23"/>
      <c r="AC175" s="28"/>
      <c r="AD175" s="32"/>
      <c r="AE175" s="28"/>
      <c r="AF175" s="29"/>
      <c r="AG175" s="26"/>
      <c r="AH175" s="23"/>
      <c r="AI175" s="23"/>
      <c r="AJ175" s="23"/>
      <c r="AK175" s="23"/>
      <c r="AL175" s="23"/>
    </row>
    <row r="176" spans="1:39" ht="17.25" customHeight="1" x14ac:dyDescent="0.2">
      <c r="A176" s="50">
        <v>46178</v>
      </c>
      <c r="B176" s="60"/>
      <c r="C176" s="33"/>
      <c r="D176" s="4" t="s">
        <v>35</v>
      </c>
      <c r="E176" s="23"/>
      <c r="F176" s="32"/>
      <c r="G176" s="28"/>
      <c r="H176" s="30"/>
      <c r="I176" s="26"/>
      <c r="J176" s="23"/>
      <c r="K176" s="23"/>
      <c r="L176" s="23"/>
      <c r="M176" s="23"/>
      <c r="N176" s="23"/>
      <c r="O176" s="16"/>
      <c r="P176" s="23"/>
      <c r="Q176" s="28"/>
      <c r="R176" s="32"/>
      <c r="S176" s="28"/>
      <c r="T176" s="65"/>
      <c r="U176" s="26"/>
      <c r="V176" s="23"/>
      <c r="W176" s="23"/>
      <c r="X176" s="23"/>
      <c r="Y176" s="23"/>
      <c r="Z176" s="23"/>
      <c r="AB176" s="23"/>
      <c r="AC176" s="28"/>
      <c r="AD176" s="32"/>
      <c r="AE176" s="28"/>
      <c r="AF176" s="29"/>
      <c r="AG176" s="26"/>
      <c r="AH176" s="23"/>
      <c r="AI176" s="23"/>
      <c r="AJ176" s="23"/>
      <c r="AK176" s="23"/>
      <c r="AL176" s="23"/>
    </row>
    <row r="177" spans="1:39" ht="17.25" customHeight="1" x14ac:dyDescent="0.2">
      <c r="A177" s="50">
        <v>46179</v>
      </c>
      <c r="C177" s="33"/>
      <c r="D177" s="4" t="s">
        <v>36</v>
      </c>
      <c r="E177" s="23"/>
      <c r="F177" s="32"/>
      <c r="G177" s="28"/>
      <c r="H177" s="43"/>
      <c r="I177" s="26"/>
      <c r="J177" s="23"/>
      <c r="K177" s="23"/>
      <c r="L177" s="23"/>
      <c r="M177" s="23"/>
      <c r="N177" s="23"/>
      <c r="O177" s="16"/>
      <c r="P177" s="23"/>
      <c r="Q177" s="28"/>
      <c r="R177" s="32"/>
      <c r="S177" s="28"/>
      <c r="T177" s="74"/>
      <c r="U177" s="26"/>
      <c r="V177" s="23"/>
      <c r="W177" s="23"/>
      <c r="X177" s="23"/>
      <c r="Y177" s="23"/>
      <c r="Z177" s="23"/>
      <c r="AB177" s="23"/>
      <c r="AC177" s="28"/>
      <c r="AD177" s="32"/>
      <c r="AE177" s="28"/>
      <c r="AF177" s="29"/>
      <c r="AG177" s="26"/>
      <c r="AH177" s="23"/>
      <c r="AI177" s="23"/>
      <c r="AJ177" s="23"/>
      <c r="AK177" s="23"/>
      <c r="AL177" s="23"/>
    </row>
    <row r="178" spans="1:39" ht="17.25" customHeight="1" x14ac:dyDescent="0.2">
      <c r="A178" s="50">
        <v>46180</v>
      </c>
      <c r="B178" s="60"/>
      <c r="C178" s="33"/>
      <c r="D178" s="4" t="s">
        <v>37</v>
      </c>
      <c r="E178" s="23"/>
      <c r="F178" s="32"/>
      <c r="G178" s="28"/>
      <c r="H178" s="29"/>
      <c r="I178" s="26"/>
      <c r="J178" s="23"/>
      <c r="K178" s="23"/>
      <c r="L178" s="23"/>
      <c r="M178" s="23"/>
      <c r="N178" s="23"/>
      <c r="O178" s="16"/>
      <c r="P178" s="23"/>
      <c r="Q178" s="28"/>
      <c r="R178" s="32"/>
      <c r="S178" s="28"/>
      <c r="T178" s="65"/>
      <c r="U178" s="26"/>
      <c r="V178" s="23"/>
      <c r="W178" s="23"/>
      <c r="X178" s="23"/>
      <c r="Y178" s="23"/>
      <c r="Z178" s="23"/>
      <c r="AB178" s="23"/>
      <c r="AC178" s="28"/>
      <c r="AD178" s="32"/>
      <c r="AE178" s="28"/>
      <c r="AF178" s="29"/>
      <c r="AG178" s="26"/>
      <c r="AH178" s="23"/>
      <c r="AI178" s="23"/>
      <c r="AJ178" s="23"/>
      <c r="AK178" s="23"/>
      <c r="AL178" s="23"/>
    </row>
    <row r="179" spans="1:39" ht="17.25" customHeight="1" x14ac:dyDescent="0.2">
      <c r="A179" s="48"/>
      <c r="B179" s="60"/>
      <c r="C179" s="77"/>
      <c r="D179" s="15"/>
      <c r="E179" s="14"/>
      <c r="F179" s="15"/>
      <c r="G179" s="16"/>
      <c r="H179" s="15"/>
      <c r="I179" s="17"/>
      <c r="J179" s="17"/>
      <c r="K179" s="17"/>
      <c r="L179" s="17"/>
      <c r="M179" s="17"/>
      <c r="N179" s="17"/>
      <c r="O179" s="15"/>
      <c r="P179" s="14"/>
      <c r="Q179" s="16"/>
      <c r="R179" s="15"/>
      <c r="S179" s="16"/>
      <c r="T179" s="15"/>
      <c r="U179" s="17"/>
      <c r="V179" s="17"/>
      <c r="W179" s="17"/>
      <c r="X179" s="17"/>
      <c r="Y179" s="17"/>
      <c r="Z179" s="17"/>
      <c r="AA179" s="15"/>
      <c r="AB179" s="14"/>
      <c r="AC179" s="16"/>
      <c r="AD179" s="15"/>
      <c r="AE179" s="16"/>
      <c r="AF179" s="15"/>
      <c r="AG179" s="17"/>
      <c r="AH179" s="17"/>
      <c r="AI179" s="17"/>
      <c r="AJ179" s="17"/>
      <c r="AK179" s="17"/>
      <c r="AL179" s="17"/>
      <c r="AM179" s="15"/>
    </row>
    <row r="180" spans="1:39" ht="17.25" customHeight="1" x14ac:dyDescent="0.2">
      <c r="A180" s="50">
        <v>46181</v>
      </c>
      <c r="B180" s="41"/>
      <c r="C180" s="33"/>
      <c r="D180" s="4" t="s">
        <v>19</v>
      </c>
      <c r="E180" s="23"/>
      <c r="F180" s="32"/>
      <c r="G180" s="28"/>
      <c r="H180" s="30"/>
      <c r="I180" s="26"/>
      <c r="J180" s="23"/>
      <c r="K180" s="23"/>
      <c r="L180" s="23"/>
      <c r="M180" s="23"/>
      <c r="N180" s="23"/>
      <c r="O180" s="16"/>
      <c r="P180" s="23"/>
      <c r="Q180" s="28"/>
      <c r="R180" s="32"/>
      <c r="S180" s="89"/>
      <c r="T180" s="74"/>
      <c r="U180" s="26"/>
      <c r="V180" s="23"/>
      <c r="W180" s="23"/>
      <c r="X180" s="23"/>
      <c r="Y180" s="23"/>
      <c r="Z180" s="23"/>
      <c r="AB180" s="23"/>
      <c r="AC180" s="28"/>
      <c r="AD180" s="32"/>
      <c r="AE180" s="28"/>
      <c r="AF180" s="29"/>
      <c r="AG180" s="26"/>
      <c r="AH180" s="23"/>
      <c r="AI180" s="23"/>
      <c r="AJ180" s="23"/>
      <c r="AK180" s="23"/>
      <c r="AL180" s="23"/>
    </row>
    <row r="181" spans="1:39" ht="17.25" customHeight="1" x14ac:dyDescent="0.2">
      <c r="A181" s="50">
        <v>46182</v>
      </c>
      <c r="B181" s="60"/>
      <c r="C181" s="33"/>
      <c r="D181" s="4" t="s">
        <v>27</v>
      </c>
      <c r="E181" s="23"/>
      <c r="F181" s="32"/>
      <c r="G181" s="28"/>
      <c r="H181" s="30"/>
      <c r="I181" s="26"/>
      <c r="J181" s="23"/>
      <c r="K181" s="23"/>
      <c r="L181" s="23"/>
      <c r="M181" s="23"/>
      <c r="N181" s="23"/>
      <c r="O181" s="16"/>
      <c r="P181" s="23"/>
      <c r="Q181" s="28"/>
      <c r="R181" s="32"/>
      <c r="S181" s="58"/>
      <c r="T181" s="88"/>
      <c r="U181" s="26"/>
      <c r="V181" s="23"/>
      <c r="W181" s="23"/>
      <c r="X181" s="23"/>
      <c r="Y181" s="23"/>
      <c r="Z181" s="23"/>
      <c r="AB181" s="23"/>
      <c r="AC181" s="28"/>
      <c r="AD181" s="32"/>
      <c r="AE181" s="58"/>
      <c r="AF181" s="59"/>
      <c r="AG181" s="26"/>
      <c r="AH181" s="23"/>
      <c r="AI181" s="23"/>
      <c r="AJ181" s="23"/>
      <c r="AK181" s="23"/>
      <c r="AL181" s="23"/>
    </row>
    <row r="182" spans="1:39" ht="17.25" customHeight="1" x14ac:dyDescent="0.2">
      <c r="A182" s="50">
        <v>46183</v>
      </c>
      <c r="B182" s="60"/>
      <c r="C182" s="33"/>
      <c r="D182" s="4" t="s">
        <v>31</v>
      </c>
      <c r="E182" s="23"/>
      <c r="F182" s="32"/>
      <c r="G182" s="28"/>
      <c r="H182" s="30"/>
      <c r="I182" s="26"/>
      <c r="J182" s="23"/>
      <c r="K182" s="23"/>
      <c r="L182" s="23"/>
      <c r="M182" s="23"/>
      <c r="N182" s="23"/>
      <c r="O182" s="16"/>
      <c r="P182" s="23"/>
      <c r="Q182" s="28"/>
      <c r="R182" s="32"/>
      <c r="S182" s="28"/>
      <c r="T182" s="74"/>
      <c r="U182" s="26"/>
      <c r="V182" s="23"/>
      <c r="W182" s="23"/>
      <c r="X182" s="23"/>
      <c r="Y182" s="23"/>
      <c r="Z182" s="23"/>
      <c r="AB182" s="23"/>
      <c r="AC182" s="28"/>
      <c r="AD182" s="32"/>
      <c r="AE182" s="28"/>
      <c r="AF182" s="29"/>
      <c r="AG182" s="26"/>
      <c r="AH182" s="23"/>
      <c r="AI182" s="23"/>
      <c r="AJ182" s="23"/>
      <c r="AK182" s="23"/>
      <c r="AL182" s="23"/>
    </row>
    <row r="183" spans="1:39" ht="17.25" customHeight="1" x14ac:dyDescent="0.2">
      <c r="A183" s="50">
        <v>46184</v>
      </c>
      <c r="B183" s="60"/>
      <c r="C183" s="22">
        <f>C175+1</f>
        <v>24</v>
      </c>
      <c r="D183" s="4" t="s">
        <v>33</v>
      </c>
      <c r="E183" s="23"/>
      <c r="F183" s="32"/>
      <c r="G183" s="28"/>
      <c r="H183" s="85"/>
      <c r="I183" s="26"/>
      <c r="J183" s="23"/>
      <c r="K183" s="23"/>
      <c r="L183" s="23"/>
      <c r="M183" s="23"/>
      <c r="N183" s="23"/>
      <c r="O183" s="16"/>
      <c r="P183" s="23"/>
      <c r="Q183" s="28"/>
      <c r="R183" s="32"/>
      <c r="S183" s="37"/>
      <c r="T183" s="74"/>
      <c r="U183" s="26"/>
      <c r="V183" s="23"/>
      <c r="W183" s="23"/>
      <c r="X183" s="23"/>
      <c r="Y183" s="23"/>
      <c r="Z183" s="23"/>
      <c r="AB183" s="23"/>
      <c r="AC183" s="28"/>
      <c r="AD183" s="32"/>
      <c r="AE183" s="58"/>
      <c r="AF183" s="66"/>
      <c r="AG183" s="26"/>
      <c r="AH183" s="23"/>
      <c r="AI183" s="23"/>
      <c r="AJ183" s="23"/>
      <c r="AK183" s="23"/>
      <c r="AL183" s="23"/>
    </row>
    <row r="184" spans="1:39" ht="17.25" customHeight="1" x14ac:dyDescent="0.2">
      <c r="A184" s="50">
        <v>46185</v>
      </c>
      <c r="B184" s="60"/>
      <c r="C184" s="33"/>
      <c r="D184" s="4" t="s">
        <v>35</v>
      </c>
      <c r="E184" s="23"/>
      <c r="F184" s="32"/>
      <c r="G184" s="97"/>
      <c r="H184" s="30"/>
      <c r="I184" s="26"/>
      <c r="J184" s="23"/>
      <c r="K184" s="23"/>
      <c r="L184" s="23"/>
      <c r="M184" s="23"/>
      <c r="N184" s="23"/>
      <c r="O184" s="16"/>
      <c r="P184" s="23"/>
      <c r="Q184" s="28"/>
      <c r="R184" s="32"/>
      <c r="S184" s="28"/>
      <c r="T184" s="65"/>
      <c r="U184" s="26"/>
      <c r="V184" s="23"/>
      <c r="W184" s="23"/>
      <c r="X184" s="23"/>
      <c r="Y184" s="23"/>
      <c r="Z184" s="23"/>
      <c r="AB184" s="23"/>
      <c r="AC184" s="29"/>
      <c r="AD184" s="32"/>
      <c r="AE184" s="30"/>
      <c r="AF184" s="30"/>
      <c r="AG184" s="26"/>
      <c r="AH184" s="23"/>
      <c r="AI184" s="23"/>
      <c r="AJ184" s="23"/>
      <c r="AK184" s="23"/>
      <c r="AL184" s="23"/>
    </row>
    <row r="185" spans="1:39" ht="17.25" customHeight="1" x14ac:dyDescent="0.2">
      <c r="A185" s="50">
        <v>46186</v>
      </c>
      <c r="B185" s="60"/>
      <c r="C185" s="33"/>
      <c r="D185" s="4" t="s">
        <v>36</v>
      </c>
      <c r="E185" s="23"/>
      <c r="F185" s="32"/>
      <c r="G185" s="28"/>
      <c r="H185" s="30"/>
      <c r="I185" s="26"/>
      <c r="J185" s="23"/>
      <c r="K185" s="23"/>
      <c r="L185" s="23"/>
      <c r="M185" s="23"/>
      <c r="N185" s="23"/>
      <c r="O185" s="16"/>
      <c r="P185" s="23"/>
      <c r="Q185" s="28"/>
      <c r="R185" s="32"/>
      <c r="S185" s="28"/>
      <c r="T185" s="74"/>
      <c r="U185" s="26"/>
      <c r="V185" s="23"/>
      <c r="W185" s="23"/>
      <c r="X185" s="23"/>
      <c r="Y185" s="23"/>
      <c r="Z185" s="23"/>
      <c r="AA185" s="16"/>
      <c r="AB185" s="23"/>
      <c r="AC185" s="28"/>
      <c r="AD185" s="32"/>
      <c r="AE185" s="28"/>
      <c r="AF185" s="29"/>
      <c r="AG185" s="26"/>
      <c r="AH185" s="23"/>
      <c r="AI185" s="23"/>
      <c r="AJ185" s="23"/>
      <c r="AK185" s="23"/>
      <c r="AL185" s="23"/>
    </row>
    <row r="186" spans="1:39" ht="17.25" customHeight="1" x14ac:dyDescent="0.2">
      <c r="A186" s="50">
        <v>46187</v>
      </c>
      <c r="B186" s="60"/>
      <c r="C186" s="33"/>
      <c r="D186" s="4" t="s">
        <v>37</v>
      </c>
      <c r="E186" s="23"/>
      <c r="F186" s="32"/>
      <c r="G186" s="37"/>
      <c r="H186" s="30"/>
      <c r="I186" s="26"/>
      <c r="J186" s="23"/>
      <c r="K186" s="23"/>
      <c r="L186" s="23"/>
      <c r="M186" s="23"/>
      <c r="N186" s="23"/>
      <c r="O186" s="16"/>
      <c r="P186" s="23"/>
      <c r="Q186" s="28"/>
      <c r="R186" s="32"/>
      <c r="S186" s="37"/>
      <c r="T186" s="65"/>
      <c r="U186" s="26"/>
      <c r="V186" s="23"/>
      <c r="W186" s="23"/>
      <c r="X186" s="23"/>
      <c r="Y186" s="23"/>
      <c r="Z186" s="23"/>
      <c r="AA186" s="16"/>
      <c r="AB186" s="23"/>
      <c r="AC186" s="28"/>
      <c r="AD186" s="32"/>
      <c r="AE186" s="28"/>
      <c r="AF186" s="29"/>
      <c r="AG186" s="26"/>
      <c r="AH186" s="23"/>
      <c r="AI186" s="23"/>
      <c r="AJ186" s="23"/>
      <c r="AK186" s="23"/>
      <c r="AL186" s="23"/>
    </row>
    <row r="187" spans="1:39" ht="17.25" customHeight="1" x14ac:dyDescent="0.2">
      <c r="A187" s="48"/>
      <c r="B187" s="60"/>
      <c r="C187" s="77"/>
      <c r="D187" s="15"/>
      <c r="E187" s="14"/>
      <c r="F187" s="15"/>
      <c r="G187" s="16"/>
      <c r="H187" s="15"/>
      <c r="I187" s="17"/>
      <c r="J187" s="17"/>
      <c r="K187" s="17"/>
      <c r="L187" s="17"/>
      <c r="M187" s="17"/>
      <c r="N187" s="17"/>
      <c r="O187" s="15"/>
      <c r="P187" s="14"/>
      <c r="Q187" s="16"/>
      <c r="R187" s="15"/>
      <c r="S187" s="16"/>
      <c r="T187" s="15"/>
      <c r="U187" s="17"/>
      <c r="V187" s="17"/>
      <c r="W187" s="17"/>
      <c r="X187" s="17"/>
      <c r="Y187" s="17"/>
      <c r="Z187" s="17"/>
      <c r="AA187" s="15"/>
      <c r="AB187" s="14"/>
      <c r="AC187" s="16"/>
      <c r="AD187" s="15"/>
      <c r="AE187" s="16"/>
      <c r="AF187" s="15"/>
      <c r="AG187" s="17"/>
      <c r="AH187" s="17"/>
      <c r="AI187" s="17"/>
      <c r="AJ187" s="17"/>
      <c r="AK187" s="17"/>
      <c r="AL187" s="17"/>
      <c r="AM187" s="15"/>
    </row>
    <row r="188" spans="1:39" ht="17.25" customHeight="1" x14ac:dyDescent="0.2">
      <c r="A188" s="50">
        <v>46188</v>
      </c>
      <c r="B188" s="60"/>
      <c r="C188" s="33"/>
      <c r="D188" s="4" t="s">
        <v>19</v>
      </c>
      <c r="E188" s="23"/>
      <c r="F188" s="32"/>
      <c r="G188" s="28"/>
      <c r="H188" s="30"/>
      <c r="I188" s="26"/>
      <c r="J188" s="23"/>
      <c r="K188" s="23"/>
      <c r="L188" s="23"/>
      <c r="M188" s="23"/>
      <c r="N188" s="23"/>
      <c r="O188" s="16"/>
      <c r="P188" s="23"/>
      <c r="Q188" s="28"/>
      <c r="R188" s="32"/>
      <c r="S188" s="28"/>
      <c r="T188" s="74"/>
      <c r="U188" s="26"/>
      <c r="V188" s="23"/>
      <c r="W188" s="23"/>
      <c r="X188" s="23"/>
      <c r="Y188" s="23"/>
      <c r="Z188" s="23"/>
      <c r="AA188" s="16"/>
      <c r="AB188" s="23"/>
      <c r="AC188" s="28"/>
      <c r="AD188" s="32"/>
      <c r="AE188" s="58"/>
      <c r="AF188" s="68"/>
      <c r="AG188" s="26"/>
      <c r="AH188" s="23"/>
      <c r="AI188" s="23"/>
      <c r="AJ188" s="23"/>
      <c r="AK188" s="23"/>
      <c r="AL188" s="23"/>
    </row>
    <row r="189" spans="1:39" ht="17.25" customHeight="1" x14ac:dyDescent="0.2">
      <c r="A189" s="50">
        <v>46189</v>
      </c>
      <c r="B189" s="60" t="s">
        <v>191</v>
      </c>
      <c r="C189" s="33"/>
      <c r="D189" s="4" t="s">
        <v>27</v>
      </c>
      <c r="E189" s="23"/>
      <c r="F189" s="32"/>
      <c r="G189" s="97"/>
      <c r="H189" s="30"/>
      <c r="I189" s="26"/>
      <c r="J189" s="23"/>
      <c r="K189" s="23"/>
      <c r="L189" s="23"/>
      <c r="M189" s="23"/>
      <c r="N189" s="23"/>
      <c r="O189" s="16"/>
      <c r="P189" s="23"/>
      <c r="Q189" s="28"/>
      <c r="R189" s="32"/>
      <c r="S189" s="28"/>
      <c r="T189" s="88"/>
      <c r="U189" s="26"/>
      <c r="V189" s="23"/>
      <c r="W189" s="23"/>
      <c r="X189" s="23"/>
      <c r="Y189" s="23"/>
      <c r="Z189" s="23"/>
      <c r="AA189" s="16"/>
      <c r="AB189" s="23"/>
      <c r="AC189" s="28"/>
      <c r="AD189" s="32"/>
      <c r="AE189" s="58"/>
      <c r="AF189" s="66"/>
      <c r="AG189" s="23"/>
      <c r="AH189" s="23"/>
      <c r="AI189" s="23"/>
      <c r="AJ189" s="23"/>
      <c r="AK189" s="23"/>
      <c r="AL189" s="23"/>
    </row>
    <row r="190" spans="1:39" ht="17.25" customHeight="1" x14ac:dyDescent="0.2">
      <c r="A190" s="50">
        <v>46190</v>
      </c>
      <c r="B190" s="60"/>
      <c r="C190" s="33"/>
      <c r="D190" s="4" t="s">
        <v>31</v>
      </c>
      <c r="E190" s="23"/>
      <c r="F190" s="32"/>
      <c r="G190" s="97"/>
      <c r="H190" s="30"/>
      <c r="I190" s="26"/>
      <c r="J190" s="23"/>
      <c r="K190" s="23"/>
      <c r="L190" s="23"/>
      <c r="M190" s="23"/>
      <c r="N190" s="23"/>
      <c r="O190" s="16"/>
      <c r="P190" s="23"/>
      <c r="Q190" s="28"/>
      <c r="R190" s="32"/>
      <c r="S190" s="58"/>
      <c r="T190" s="74"/>
      <c r="U190" s="26"/>
      <c r="V190" s="23"/>
      <c r="W190" s="23"/>
      <c r="X190" s="23"/>
      <c r="Y190" s="23"/>
      <c r="Z190" s="23"/>
      <c r="AA190" s="16"/>
      <c r="AB190" s="23"/>
      <c r="AC190" s="28"/>
      <c r="AD190" s="32"/>
      <c r="AE190" s="28"/>
      <c r="AF190" s="29"/>
      <c r="AG190" s="26"/>
      <c r="AH190" s="23"/>
      <c r="AI190" s="23"/>
      <c r="AJ190" s="23"/>
      <c r="AK190" s="23"/>
      <c r="AL190" s="23"/>
    </row>
    <row r="191" spans="1:39" ht="17.25" customHeight="1" x14ac:dyDescent="0.2">
      <c r="A191" s="50">
        <v>46191</v>
      </c>
      <c r="B191" s="60"/>
      <c r="C191" s="22">
        <f>C183+1</f>
        <v>25</v>
      </c>
      <c r="D191" s="4" t="s">
        <v>33</v>
      </c>
      <c r="E191" s="23"/>
      <c r="F191" s="32"/>
      <c r="G191" s="28"/>
      <c r="H191" s="30"/>
      <c r="I191" s="26"/>
      <c r="J191" s="23"/>
      <c r="K191" s="23"/>
      <c r="L191" s="23"/>
      <c r="M191" s="23"/>
      <c r="N191" s="23"/>
      <c r="O191" s="16"/>
      <c r="P191" s="23"/>
      <c r="Q191" s="28"/>
      <c r="R191" s="32"/>
      <c r="S191" s="28"/>
      <c r="T191" s="74"/>
      <c r="U191" s="26"/>
      <c r="V191" s="23"/>
      <c r="W191" s="23"/>
      <c r="X191" s="23"/>
      <c r="Y191" s="23"/>
      <c r="Z191" s="23"/>
      <c r="AA191" s="16"/>
      <c r="AB191" s="23"/>
      <c r="AC191" s="28"/>
      <c r="AD191" s="32"/>
      <c r="AE191" s="28"/>
      <c r="AF191" s="29"/>
      <c r="AG191" s="26"/>
      <c r="AH191" s="23"/>
      <c r="AI191" s="23"/>
      <c r="AJ191" s="23"/>
      <c r="AK191" s="23"/>
      <c r="AL191" s="23"/>
    </row>
    <row r="192" spans="1:39" ht="17.25" customHeight="1" x14ac:dyDescent="0.2">
      <c r="A192" s="50">
        <v>46192</v>
      </c>
      <c r="B192" s="60"/>
      <c r="C192" s="33"/>
      <c r="D192" s="4" t="s">
        <v>35</v>
      </c>
      <c r="E192" s="23"/>
      <c r="F192" s="32"/>
      <c r="G192" s="28"/>
      <c r="H192" s="30"/>
      <c r="I192" s="26"/>
      <c r="J192" s="23"/>
      <c r="K192" s="23"/>
      <c r="L192" s="23"/>
      <c r="M192" s="23"/>
      <c r="N192" s="23"/>
      <c r="O192" s="16"/>
      <c r="P192" s="23"/>
      <c r="Q192" s="28"/>
      <c r="R192" s="32"/>
      <c r="S192" s="28"/>
      <c r="T192" s="65"/>
      <c r="U192" s="26"/>
      <c r="V192" s="23"/>
      <c r="W192" s="23"/>
      <c r="X192" s="23"/>
      <c r="Y192" s="23"/>
      <c r="Z192" s="23"/>
      <c r="AA192" s="16"/>
      <c r="AB192" s="23"/>
      <c r="AC192" s="28"/>
      <c r="AD192" s="32"/>
      <c r="AE192" s="28"/>
      <c r="AF192" s="29"/>
      <c r="AG192" s="26"/>
      <c r="AH192" s="23"/>
      <c r="AI192" s="23"/>
      <c r="AJ192" s="23"/>
      <c r="AK192" s="23"/>
      <c r="AL192" s="23"/>
    </row>
    <row r="193" spans="1:39" ht="17.25" customHeight="1" x14ac:dyDescent="0.2">
      <c r="A193" s="50">
        <v>46193</v>
      </c>
      <c r="B193" s="60"/>
      <c r="C193" s="33"/>
      <c r="D193" s="4" t="s">
        <v>36</v>
      </c>
      <c r="E193" s="23"/>
      <c r="F193" s="32"/>
      <c r="G193" s="28"/>
      <c r="H193" s="74"/>
      <c r="I193" s="26"/>
      <c r="J193" s="23"/>
      <c r="K193" s="23"/>
      <c r="L193" s="23"/>
      <c r="M193" s="23"/>
      <c r="N193" s="23"/>
      <c r="O193" s="16"/>
      <c r="P193" s="23"/>
      <c r="Q193" s="28"/>
      <c r="R193" s="32"/>
      <c r="S193" s="28"/>
      <c r="T193" s="74"/>
      <c r="U193" s="26"/>
      <c r="V193" s="23"/>
      <c r="W193" s="23"/>
      <c r="X193" s="23"/>
      <c r="Y193" s="23"/>
      <c r="Z193" s="23"/>
      <c r="AA193" s="16"/>
      <c r="AB193" s="23"/>
      <c r="AC193" s="28"/>
      <c r="AD193" s="32"/>
      <c r="AE193" s="28"/>
      <c r="AF193" s="29"/>
      <c r="AG193" s="26"/>
      <c r="AH193" s="23"/>
      <c r="AI193" s="23"/>
      <c r="AJ193" s="23"/>
      <c r="AK193" s="23"/>
      <c r="AL193" s="23"/>
    </row>
    <row r="194" spans="1:39" ht="17.25" customHeight="1" x14ac:dyDescent="0.2">
      <c r="A194" s="50">
        <v>46194</v>
      </c>
      <c r="B194" s="60"/>
      <c r="C194" s="33"/>
      <c r="D194" s="4" t="s">
        <v>37</v>
      </c>
      <c r="E194" s="23"/>
      <c r="F194" s="32"/>
      <c r="G194" s="37"/>
      <c r="H194" s="30"/>
      <c r="I194" s="26"/>
      <c r="J194" s="23"/>
      <c r="K194" s="23"/>
      <c r="L194" s="23"/>
      <c r="M194" s="23"/>
      <c r="N194" s="23"/>
      <c r="O194" s="16"/>
      <c r="P194" s="23"/>
      <c r="Q194" s="28"/>
      <c r="R194" s="32"/>
      <c r="S194" s="28"/>
      <c r="T194" s="65"/>
      <c r="U194" s="26"/>
      <c r="V194" s="23"/>
      <c r="W194" s="23"/>
      <c r="X194" s="23"/>
      <c r="Y194" s="23"/>
      <c r="Z194" s="23"/>
      <c r="AA194" s="16"/>
      <c r="AB194" s="23"/>
      <c r="AC194" s="28"/>
      <c r="AD194" s="32"/>
      <c r="AE194" s="28"/>
      <c r="AF194" s="29"/>
      <c r="AG194" s="26"/>
      <c r="AH194" s="23"/>
      <c r="AI194" s="23"/>
      <c r="AJ194" s="23"/>
      <c r="AK194" s="23"/>
      <c r="AL194" s="23"/>
    </row>
    <row r="195" spans="1:39" ht="17.25" customHeight="1" x14ac:dyDescent="0.2">
      <c r="A195" s="48"/>
      <c r="B195" s="60"/>
      <c r="C195" s="77"/>
      <c r="D195" s="15"/>
      <c r="E195" s="14"/>
      <c r="F195" s="15"/>
      <c r="G195" s="16"/>
      <c r="H195" s="15"/>
      <c r="I195" s="17"/>
      <c r="J195" s="17"/>
      <c r="K195" s="17"/>
      <c r="L195" s="17"/>
      <c r="M195" s="17"/>
      <c r="N195" s="17"/>
      <c r="O195" s="15"/>
      <c r="P195" s="14"/>
      <c r="Q195" s="16"/>
      <c r="R195" s="15"/>
      <c r="S195" s="16"/>
      <c r="T195" s="15"/>
      <c r="U195" s="17"/>
      <c r="V195" s="17"/>
      <c r="W195" s="17"/>
      <c r="X195" s="17"/>
      <c r="Y195" s="17"/>
      <c r="Z195" s="17"/>
      <c r="AA195" s="15"/>
      <c r="AB195" s="14"/>
      <c r="AC195" s="16"/>
      <c r="AD195" s="15"/>
      <c r="AE195" s="16"/>
      <c r="AF195" s="15"/>
      <c r="AG195" s="17"/>
      <c r="AH195" s="17"/>
      <c r="AI195" s="17"/>
      <c r="AJ195" s="17"/>
      <c r="AK195" s="17"/>
      <c r="AL195" s="17"/>
      <c r="AM195" s="15"/>
    </row>
    <row r="196" spans="1:39" ht="17.25" customHeight="1" x14ac:dyDescent="0.2">
      <c r="A196" s="50">
        <v>46195</v>
      </c>
      <c r="B196" s="60"/>
      <c r="C196" s="33"/>
      <c r="D196" s="4" t="s">
        <v>19</v>
      </c>
      <c r="E196" s="23"/>
      <c r="F196" s="32"/>
      <c r="G196" s="28"/>
      <c r="H196" s="30"/>
      <c r="I196" s="26"/>
      <c r="J196" s="23"/>
      <c r="K196" s="23"/>
      <c r="L196" s="23"/>
      <c r="M196" s="23"/>
      <c r="N196" s="23"/>
      <c r="O196" s="16"/>
      <c r="P196" s="23"/>
      <c r="Q196" s="28"/>
      <c r="R196" s="32"/>
      <c r="S196" s="89"/>
      <c r="T196" s="74"/>
      <c r="U196" s="26"/>
      <c r="V196" s="23"/>
      <c r="W196" s="23"/>
      <c r="X196" s="23"/>
      <c r="Y196" s="23"/>
      <c r="Z196" s="23"/>
      <c r="AA196" s="16"/>
      <c r="AB196" s="23"/>
      <c r="AC196" s="28"/>
      <c r="AD196" s="32"/>
      <c r="AE196" s="28"/>
      <c r="AF196" s="29"/>
      <c r="AG196" s="26"/>
      <c r="AH196" s="23"/>
      <c r="AI196" s="23"/>
      <c r="AJ196" s="23"/>
      <c r="AK196" s="23"/>
      <c r="AL196" s="23"/>
    </row>
    <row r="197" spans="1:39" ht="17.25" customHeight="1" x14ac:dyDescent="0.2">
      <c r="A197" s="50">
        <v>46196</v>
      </c>
      <c r="C197" s="33"/>
      <c r="D197" s="4" t="s">
        <v>27</v>
      </c>
      <c r="E197" s="23"/>
      <c r="F197" s="32"/>
      <c r="G197" s="37"/>
      <c r="H197" s="30"/>
      <c r="I197" s="26"/>
      <c r="J197" s="23"/>
      <c r="K197" s="23"/>
      <c r="L197" s="23"/>
      <c r="M197" s="23"/>
      <c r="N197" s="23"/>
      <c r="O197" s="16"/>
      <c r="P197" s="23"/>
      <c r="Q197" s="28"/>
      <c r="R197" s="32"/>
      <c r="S197" s="28"/>
      <c r="T197" s="88"/>
      <c r="U197" s="26"/>
      <c r="V197" s="23"/>
      <c r="W197" s="23"/>
      <c r="X197" s="23"/>
      <c r="Y197" s="23"/>
      <c r="Z197" s="23"/>
      <c r="AA197" s="16"/>
      <c r="AB197" s="29"/>
      <c r="AC197" s="28"/>
      <c r="AD197" s="32"/>
      <c r="AE197" s="58"/>
      <c r="AF197" s="29"/>
      <c r="AG197" s="26"/>
      <c r="AH197" s="23"/>
      <c r="AI197" s="23"/>
      <c r="AJ197" s="23"/>
      <c r="AK197" s="23"/>
      <c r="AL197" s="23"/>
    </row>
    <row r="198" spans="1:39" ht="17.25" customHeight="1" x14ac:dyDescent="0.2">
      <c r="A198" s="50">
        <v>46197</v>
      </c>
      <c r="B198" s="60"/>
      <c r="C198" s="33"/>
      <c r="D198" s="4" t="s">
        <v>31</v>
      </c>
      <c r="E198" s="23"/>
      <c r="F198" s="32"/>
      <c r="G198" s="37"/>
      <c r="H198" s="30"/>
      <c r="I198" s="26"/>
      <c r="J198" s="23"/>
      <c r="K198" s="23"/>
      <c r="L198" s="23"/>
      <c r="M198" s="23"/>
      <c r="N198" s="23"/>
      <c r="O198" s="16"/>
      <c r="P198" s="23"/>
      <c r="Q198" s="28"/>
      <c r="R198" s="32"/>
      <c r="S198" s="28"/>
      <c r="T198" s="74"/>
      <c r="U198" s="26"/>
      <c r="V198" s="23"/>
      <c r="W198" s="23"/>
      <c r="X198" s="23"/>
      <c r="Y198" s="23"/>
      <c r="Z198" s="23"/>
      <c r="AA198" s="16"/>
      <c r="AB198" s="23"/>
      <c r="AC198" s="28"/>
      <c r="AD198" s="32"/>
      <c r="AE198" s="28"/>
      <c r="AF198" s="29"/>
      <c r="AG198" s="26"/>
      <c r="AH198" s="23"/>
      <c r="AI198" s="23"/>
      <c r="AJ198" s="23"/>
      <c r="AK198" s="23"/>
      <c r="AL198" s="23"/>
    </row>
    <row r="199" spans="1:39" ht="17.25" customHeight="1" x14ac:dyDescent="0.2">
      <c r="A199" s="50">
        <v>46198</v>
      </c>
      <c r="B199" s="60"/>
      <c r="C199" s="22">
        <f>C191+1</f>
        <v>26</v>
      </c>
      <c r="D199" s="4" t="s">
        <v>33</v>
      </c>
      <c r="E199" s="23"/>
      <c r="F199" s="32"/>
      <c r="G199" s="28"/>
      <c r="H199" s="30"/>
      <c r="I199" s="26"/>
      <c r="J199" s="23"/>
      <c r="K199" s="23"/>
      <c r="L199" s="23"/>
      <c r="M199" s="23"/>
      <c r="N199" s="23"/>
      <c r="O199" s="16"/>
      <c r="P199" s="23"/>
      <c r="Q199" s="28"/>
      <c r="R199" s="32"/>
      <c r="S199" s="28"/>
      <c r="T199" s="74"/>
      <c r="U199" s="26"/>
      <c r="V199" s="23"/>
      <c r="W199" s="23"/>
      <c r="X199" s="23"/>
      <c r="Y199" s="23"/>
      <c r="Z199" s="23"/>
      <c r="AA199" s="16"/>
      <c r="AB199" s="23"/>
      <c r="AC199" s="28"/>
      <c r="AD199" s="32"/>
      <c r="AE199" s="58"/>
      <c r="AF199" s="68"/>
      <c r="AG199" s="26"/>
      <c r="AH199" s="23"/>
      <c r="AI199" s="23"/>
      <c r="AJ199" s="23"/>
      <c r="AK199" s="23"/>
      <c r="AL199" s="23"/>
    </row>
    <row r="200" spans="1:39" ht="17.25" customHeight="1" x14ac:dyDescent="0.2">
      <c r="A200" s="50">
        <v>46199</v>
      </c>
      <c r="B200" s="60"/>
      <c r="C200" s="33"/>
      <c r="D200" s="4" t="s">
        <v>35</v>
      </c>
      <c r="E200" s="23"/>
      <c r="F200" s="32"/>
      <c r="G200" s="28"/>
      <c r="H200" s="30"/>
      <c r="I200" s="26"/>
      <c r="J200" s="23"/>
      <c r="K200" s="23"/>
      <c r="L200" s="23"/>
      <c r="M200" s="23"/>
      <c r="N200" s="23"/>
      <c r="O200" s="16"/>
      <c r="P200" s="23"/>
      <c r="Q200" s="28"/>
      <c r="R200" s="32"/>
      <c r="S200" s="28"/>
      <c r="T200" s="65"/>
      <c r="U200" s="26"/>
      <c r="V200" s="23"/>
      <c r="W200" s="23"/>
      <c r="X200" s="23"/>
      <c r="Y200" s="23"/>
      <c r="Z200" s="23"/>
      <c r="AA200" s="16"/>
      <c r="AB200" s="23"/>
      <c r="AC200" s="28"/>
      <c r="AD200" s="32"/>
      <c r="AE200" s="28"/>
      <c r="AF200" s="29"/>
      <c r="AG200" s="26"/>
      <c r="AH200" s="23"/>
      <c r="AI200" s="23"/>
      <c r="AJ200" s="23"/>
      <c r="AK200" s="23"/>
      <c r="AL200" s="23"/>
    </row>
    <row r="201" spans="1:39" ht="17.25" customHeight="1" x14ac:dyDescent="0.2">
      <c r="A201" s="50">
        <v>46200</v>
      </c>
      <c r="B201" s="60"/>
      <c r="C201" s="33"/>
      <c r="D201" s="4" t="s">
        <v>36</v>
      </c>
      <c r="E201" s="23"/>
      <c r="F201" s="32"/>
      <c r="G201" s="28"/>
      <c r="H201" s="30"/>
      <c r="I201" s="26"/>
      <c r="J201" s="23"/>
      <c r="K201" s="23"/>
      <c r="L201" s="23"/>
      <c r="M201" s="23"/>
      <c r="N201" s="23"/>
      <c r="O201" s="16"/>
      <c r="P201" s="23"/>
      <c r="Q201" s="23"/>
      <c r="R201" s="32"/>
      <c r="S201" s="28"/>
      <c r="T201" s="74"/>
      <c r="U201" s="26"/>
      <c r="V201" s="23"/>
      <c r="W201" s="23"/>
      <c r="X201" s="23"/>
      <c r="Y201" s="23"/>
      <c r="Z201" s="23"/>
      <c r="AA201" s="16"/>
      <c r="AB201" s="23"/>
      <c r="AC201" s="28"/>
      <c r="AD201" s="32"/>
      <c r="AE201" s="28"/>
      <c r="AF201" s="29"/>
      <c r="AG201" s="26"/>
      <c r="AH201" s="23"/>
      <c r="AI201" s="23"/>
      <c r="AJ201" s="23"/>
      <c r="AK201" s="23"/>
      <c r="AL201" s="23"/>
    </row>
    <row r="202" spans="1:39" ht="17.25" customHeight="1" x14ac:dyDescent="0.2">
      <c r="A202" s="50">
        <v>46201</v>
      </c>
      <c r="B202" s="60"/>
      <c r="C202" s="33"/>
      <c r="D202" s="4" t="s">
        <v>37</v>
      </c>
      <c r="E202" s="23"/>
      <c r="F202" s="32"/>
      <c r="G202" s="28"/>
      <c r="H202" s="29"/>
      <c r="I202" s="26"/>
      <c r="J202" s="23"/>
      <c r="K202" s="23"/>
      <c r="L202" s="23"/>
      <c r="M202" s="23"/>
      <c r="N202" s="23"/>
      <c r="O202" s="16"/>
      <c r="P202" s="23"/>
      <c r="Q202" s="28"/>
      <c r="R202" s="32"/>
      <c r="S202" s="28"/>
      <c r="T202" s="65"/>
      <c r="U202" s="26"/>
      <c r="V202" s="23"/>
      <c r="W202" s="23"/>
      <c r="X202" s="23"/>
      <c r="Y202" s="23"/>
      <c r="Z202" s="23"/>
      <c r="AA202" s="16"/>
      <c r="AB202" s="23"/>
      <c r="AC202" s="28"/>
      <c r="AD202" s="32"/>
      <c r="AE202" s="28"/>
      <c r="AF202" s="29"/>
      <c r="AG202" s="26"/>
      <c r="AH202" s="23"/>
      <c r="AI202" s="23"/>
      <c r="AJ202" s="23"/>
      <c r="AK202" s="23"/>
      <c r="AL202" s="23"/>
    </row>
    <row r="203" spans="1:39" ht="17.25" customHeight="1" x14ac:dyDescent="0.2">
      <c r="A203" s="48"/>
      <c r="B203" s="60"/>
      <c r="C203" s="77"/>
      <c r="D203" s="15"/>
      <c r="E203" s="14"/>
      <c r="F203" s="15"/>
      <c r="G203" s="16"/>
      <c r="H203" s="15"/>
      <c r="I203" s="17"/>
      <c r="J203" s="17"/>
      <c r="K203" s="17"/>
      <c r="L203" s="17"/>
      <c r="M203" s="17"/>
      <c r="N203" s="17"/>
      <c r="O203" s="15"/>
      <c r="P203" s="14"/>
      <c r="Q203" s="16"/>
      <c r="R203" s="15"/>
      <c r="S203" s="16"/>
      <c r="T203" s="15"/>
      <c r="U203" s="17"/>
      <c r="V203" s="17"/>
      <c r="W203" s="17"/>
      <c r="X203" s="17"/>
      <c r="Y203" s="17"/>
      <c r="Z203" s="17"/>
      <c r="AA203" s="15"/>
      <c r="AB203" s="14"/>
      <c r="AC203" s="16"/>
      <c r="AD203" s="15"/>
      <c r="AE203" s="16"/>
      <c r="AF203" s="15"/>
      <c r="AG203" s="17"/>
      <c r="AH203" s="17"/>
      <c r="AI203" s="17"/>
      <c r="AJ203" s="17"/>
      <c r="AK203" s="17"/>
      <c r="AL203" s="17"/>
      <c r="AM203" s="15"/>
    </row>
    <row r="204" spans="1:39" ht="17.25" customHeight="1" x14ac:dyDescent="0.2">
      <c r="A204" s="50">
        <v>46202</v>
      </c>
      <c r="B204" s="60"/>
      <c r="C204" s="33"/>
      <c r="D204" s="4" t="s">
        <v>19</v>
      </c>
      <c r="E204" s="23"/>
      <c r="F204" s="32"/>
      <c r="G204" s="28"/>
      <c r="H204" s="29"/>
      <c r="I204" s="26"/>
      <c r="J204" s="23"/>
      <c r="K204" s="23"/>
      <c r="L204" s="23"/>
      <c r="M204" s="23"/>
      <c r="N204" s="23"/>
      <c r="O204" s="16"/>
      <c r="P204" s="23"/>
      <c r="Q204" s="28"/>
      <c r="R204" s="32"/>
      <c r="S204" s="28"/>
      <c r="T204" s="74"/>
      <c r="U204" s="26"/>
      <c r="V204" s="23"/>
      <c r="W204" s="23"/>
      <c r="X204" s="23"/>
      <c r="Y204" s="23"/>
      <c r="Z204" s="23"/>
      <c r="AA204" s="16"/>
      <c r="AB204" s="23"/>
      <c r="AC204" s="28"/>
      <c r="AD204" s="32"/>
      <c r="AE204" s="58"/>
      <c r="AF204" s="68"/>
      <c r="AG204" s="26"/>
      <c r="AH204" s="23"/>
      <c r="AI204" s="23"/>
      <c r="AJ204" s="23"/>
      <c r="AK204" s="23"/>
      <c r="AL204" s="23"/>
    </row>
    <row r="205" spans="1:39" ht="17.25" customHeight="1" x14ac:dyDescent="0.2">
      <c r="A205" s="50">
        <v>46203</v>
      </c>
      <c r="B205" s="60"/>
      <c r="C205" s="33"/>
      <c r="D205" s="4" t="s">
        <v>27</v>
      </c>
      <c r="E205" s="23"/>
      <c r="F205" s="32"/>
      <c r="G205" s="58"/>
      <c r="H205" s="29"/>
      <c r="I205" s="26"/>
      <c r="J205" s="23"/>
      <c r="K205" s="23"/>
      <c r="L205" s="23"/>
      <c r="M205" s="23"/>
      <c r="N205" s="23"/>
      <c r="O205" s="16"/>
      <c r="P205" s="23"/>
      <c r="Q205" s="28"/>
      <c r="R205" s="32"/>
      <c r="S205" s="28"/>
      <c r="T205" s="88"/>
      <c r="U205" s="26"/>
      <c r="V205" s="23"/>
      <c r="W205" s="23"/>
      <c r="X205" s="23"/>
      <c r="Y205" s="23"/>
      <c r="Z205" s="23"/>
      <c r="AA205" s="16"/>
      <c r="AB205" s="23"/>
      <c r="AC205" s="28"/>
      <c r="AD205" s="32"/>
      <c r="AE205" s="58"/>
      <c r="AF205" s="29"/>
      <c r="AG205" s="26"/>
      <c r="AH205" s="23"/>
      <c r="AI205" s="23"/>
      <c r="AJ205" s="23"/>
      <c r="AK205" s="23"/>
      <c r="AL205" s="23"/>
    </row>
    <row r="206" spans="1:39" ht="17.25" customHeight="1" x14ac:dyDescent="0.2">
      <c r="A206" s="50">
        <v>46204</v>
      </c>
      <c r="B206" s="41" t="s">
        <v>192</v>
      </c>
      <c r="C206" s="33"/>
      <c r="D206" s="4" t="s">
        <v>31</v>
      </c>
      <c r="E206" s="23"/>
      <c r="F206" s="32"/>
      <c r="G206" s="28"/>
      <c r="H206" s="30"/>
      <c r="I206" s="26"/>
      <c r="J206" s="23"/>
      <c r="K206" s="23"/>
      <c r="L206" s="23"/>
      <c r="M206" s="23"/>
      <c r="N206" s="23"/>
      <c r="O206" s="16"/>
      <c r="P206" s="23"/>
      <c r="Q206" s="28"/>
      <c r="R206" s="32"/>
      <c r="S206" s="58"/>
      <c r="T206" s="74"/>
      <c r="U206" s="26"/>
      <c r="V206" s="23"/>
      <c r="W206" s="23"/>
      <c r="X206" s="23"/>
      <c r="Y206" s="23"/>
      <c r="Z206" s="23"/>
      <c r="AA206" s="16"/>
      <c r="AB206" s="23"/>
      <c r="AC206" s="28"/>
      <c r="AD206" s="32"/>
      <c r="AE206" s="58"/>
      <c r="AF206" s="59"/>
      <c r="AG206" s="26"/>
      <c r="AH206" s="23"/>
      <c r="AI206" s="23"/>
      <c r="AJ206" s="23"/>
      <c r="AK206" s="23"/>
      <c r="AL206" s="23"/>
    </row>
    <row r="207" spans="1:39" ht="17.25" customHeight="1" x14ac:dyDescent="0.2">
      <c r="A207" s="50">
        <v>46205</v>
      </c>
      <c r="B207" s="60"/>
      <c r="C207" s="22">
        <f>C199+1</f>
        <v>27</v>
      </c>
      <c r="D207" s="4" t="s">
        <v>33</v>
      </c>
      <c r="E207" s="23"/>
      <c r="F207" s="32"/>
      <c r="G207" s="28"/>
      <c r="H207" s="74"/>
      <c r="I207" s="26"/>
      <c r="J207" s="23"/>
      <c r="K207" s="23"/>
      <c r="L207" s="23"/>
      <c r="M207" s="23"/>
      <c r="N207" s="23"/>
      <c r="O207" s="16"/>
      <c r="P207" s="23"/>
      <c r="Q207" s="28"/>
      <c r="R207" s="32"/>
      <c r="S207" s="28"/>
      <c r="T207" s="74"/>
      <c r="U207" s="26"/>
      <c r="V207" s="23"/>
      <c r="W207" s="23"/>
      <c r="X207" s="23"/>
      <c r="Y207" s="23"/>
      <c r="Z207" s="23"/>
      <c r="AA207" s="16"/>
      <c r="AB207" s="23"/>
      <c r="AC207" s="28"/>
      <c r="AD207" s="32"/>
      <c r="AE207" s="28"/>
      <c r="AF207" s="30"/>
      <c r="AG207" s="26"/>
      <c r="AH207" s="23"/>
      <c r="AI207" s="23"/>
      <c r="AJ207" s="23"/>
      <c r="AK207" s="23"/>
      <c r="AL207" s="23"/>
    </row>
    <row r="208" spans="1:39" ht="17.25" customHeight="1" x14ac:dyDescent="0.2">
      <c r="A208" s="50">
        <v>46206</v>
      </c>
      <c r="B208" s="60"/>
      <c r="C208" s="33"/>
      <c r="D208" s="4" t="s">
        <v>35</v>
      </c>
      <c r="E208" s="23"/>
      <c r="F208" s="32"/>
      <c r="G208" s="28"/>
      <c r="H208" s="74"/>
      <c r="I208" s="26"/>
      <c r="J208" s="23"/>
      <c r="K208" s="23"/>
      <c r="L208" s="23"/>
      <c r="M208" s="23"/>
      <c r="N208" s="23"/>
      <c r="O208" s="16"/>
      <c r="P208" s="23"/>
      <c r="Q208" s="28"/>
      <c r="R208" s="32"/>
      <c r="S208" s="28"/>
      <c r="T208" s="65"/>
      <c r="U208" s="26"/>
      <c r="V208" s="23"/>
      <c r="W208" s="23"/>
      <c r="X208" s="23"/>
      <c r="Y208" s="23"/>
      <c r="Z208" s="23"/>
      <c r="AA208" s="16"/>
      <c r="AB208" s="23"/>
      <c r="AC208" s="28"/>
      <c r="AD208" s="32"/>
      <c r="AE208" s="28"/>
      <c r="AF208" s="30"/>
      <c r="AG208" s="26"/>
      <c r="AH208" s="23"/>
      <c r="AI208" s="23"/>
      <c r="AJ208" s="23"/>
      <c r="AK208" s="23"/>
      <c r="AL208" s="23"/>
    </row>
    <row r="209" spans="1:39" ht="17.25" customHeight="1" x14ac:dyDescent="0.2">
      <c r="A209" s="50">
        <v>46207</v>
      </c>
      <c r="B209" s="60"/>
      <c r="C209" s="33"/>
      <c r="D209" s="4" t="s">
        <v>36</v>
      </c>
      <c r="E209" s="23"/>
      <c r="F209" s="32"/>
      <c r="G209" s="28"/>
      <c r="H209" s="29"/>
      <c r="I209" s="26"/>
      <c r="J209" s="23"/>
      <c r="K209" s="23"/>
      <c r="L209" s="23"/>
      <c r="M209" s="23"/>
      <c r="N209" s="23"/>
      <c r="O209" s="16"/>
      <c r="P209" s="23"/>
      <c r="Q209" s="28"/>
      <c r="R209" s="32"/>
      <c r="S209" s="28"/>
      <c r="T209" s="74"/>
      <c r="U209" s="26"/>
      <c r="V209" s="23"/>
      <c r="W209" s="23"/>
      <c r="X209" s="23"/>
      <c r="Y209" s="23"/>
      <c r="Z209" s="23"/>
      <c r="AA209" s="16"/>
      <c r="AB209" s="23"/>
      <c r="AC209" s="28"/>
      <c r="AD209" s="32"/>
      <c r="AE209" s="28"/>
      <c r="AF209" s="30"/>
      <c r="AG209" s="26"/>
      <c r="AH209" s="23"/>
      <c r="AI209" s="23"/>
      <c r="AJ209" s="23"/>
      <c r="AK209" s="23"/>
      <c r="AL209" s="23"/>
    </row>
    <row r="210" spans="1:39" ht="17.25" customHeight="1" x14ac:dyDescent="0.2">
      <c r="A210" s="50">
        <v>46208</v>
      </c>
      <c r="B210" s="60"/>
      <c r="C210" s="33"/>
      <c r="D210" s="4" t="s">
        <v>37</v>
      </c>
      <c r="E210" s="23"/>
      <c r="F210" s="32"/>
      <c r="G210" s="28"/>
      <c r="H210" s="29"/>
      <c r="I210" s="26"/>
      <c r="J210" s="23"/>
      <c r="K210" s="23"/>
      <c r="L210" s="23"/>
      <c r="M210" s="23"/>
      <c r="N210" s="23"/>
      <c r="O210" s="16"/>
      <c r="P210" s="23"/>
      <c r="Q210" s="28"/>
      <c r="R210" s="32"/>
      <c r="S210" s="28"/>
      <c r="T210" s="65"/>
      <c r="U210" s="26"/>
      <c r="V210" s="23"/>
      <c r="W210" s="23"/>
      <c r="X210" s="23"/>
      <c r="Y210" s="23"/>
      <c r="Z210" s="23"/>
      <c r="AA210" s="16"/>
      <c r="AB210" s="23"/>
      <c r="AC210" s="28"/>
      <c r="AD210" s="32"/>
      <c r="AE210" s="28"/>
      <c r="AF210" s="29"/>
      <c r="AG210" s="26"/>
      <c r="AH210" s="23"/>
      <c r="AI210" s="23"/>
      <c r="AJ210" s="23"/>
      <c r="AK210" s="23"/>
      <c r="AL210" s="23"/>
    </row>
    <row r="211" spans="1:39" ht="17.25" customHeight="1" x14ac:dyDescent="0.2">
      <c r="A211" s="48"/>
      <c r="B211" s="60"/>
      <c r="C211" s="77"/>
      <c r="D211" s="15"/>
      <c r="E211" s="14"/>
      <c r="F211" s="15"/>
      <c r="G211" s="16"/>
      <c r="H211" s="15"/>
      <c r="I211" s="17"/>
      <c r="J211" s="17"/>
      <c r="K211" s="17"/>
      <c r="L211" s="17"/>
      <c r="M211" s="17"/>
      <c r="N211" s="17"/>
      <c r="O211" s="15"/>
      <c r="P211" s="14"/>
      <c r="Q211" s="16"/>
      <c r="R211" s="15"/>
      <c r="S211" s="16"/>
      <c r="T211" s="15"/>
      <c r="U211" s="17"/>
      <c r="V211" s="17"/>
      <c r="W211" s="17"/>
      <c r="X211" s="17"/>
      <c r="Y211" s="17"/>
      <c r="Z211" s="17"/>
      <c r="AA211" s="15"/>
      <c r="AB211" s="14"/>
      <c r="AC211" s="16"/>
      <c r="AD211" s="15"/>
      <c r="AE211" s="16"/>
      <c r="AF211" s="15"/>
      <c r="AG211" s="17"/>
      <c r="AH211" s="17"/>
      <c r="AI211" s="17"/>
      <c r="AJ211" s="17"/>
      <c r="AK211" s="17"/>
      <c r="AL211" s="17"/>
      <c r="AM211" s="15"/>
    </row>
    <row r="212" spans="1:39" ht="17.25" customHeight="1" x14ac:dyDescent="0.2">
      <c r="A212" s="50">
        <v>46209</v>
      </c>
      <c r="B212" s="60"/>
      <c r="C212" s="33"/>
      <c r="D212" s="4" t="s">
        <v>19</v>
      </c>
      <c r="E212" s="23"/>
      <c r="F212" s="32"/>
      <c r="G212" s="28"/>
      <c r="H212" s="30"/>
      <c r="I212" s="26"/>
      <c r="J212" s="23"/>
      <c r="K212" s="23"/>
      <c r="L212" s="23"/>
      <c r="M212" s="23"/>
      <c r="N212" s="23"/>
      <c r="O212" s="16"/>
      <c r="P212" s="23"/>
      <c r="Q212" s="28"/>
      <c r="R212" s="32"/>
      <c r="S212" s="28"/>
      <c r="T212" s="74"/>
      <c r="U212" s="26"/>
      <c r="V212" s="23"/>
      <c r="W212" s="23"/>
      <c r="X212" s="23"/>
      <c r="Y212" s="23"/>
      <c r="Z212" s="23"/>
      <c r="AA212" s="16"/>
      <c r="AB212" s="23"/>
      <c r="AC212" s="28"/>
      <c r="AD212" s="32"/>
      <c r="AE212" s="28"/>
      <c r="AF212" s="29"/>
      <c r="AG212" s="26"/>
      <c r="AH212" s="23"/>
      <c r="AI212" s="23"/>
      <c r="AJ212" s="23"/>
      <c r="AK212" s="23"/>
      <c r="AL212" s="23"/>
    </row>
    <row r="213" spans="1:39" ht="17.25" customHeight="1" x14ac:dyDescent="0.2">
      <c r="A213" s="50">
        <v>46210</v>
      </c>
      <c r="B213" s="41"/>
      <c r="C213" s="33"/>
      <c r="D213" s="4" t="s">
        <v>27</v>
      </c>
      <c r="E213" s="23"/>
      <c r="F213" s="32"/>
      <c r="G213" s="28"/>
      <c r="H213" s="30"/>
      <c r="I213" s="26"/>
      <c r="J213" s="23"/>
      <c r="K213" s="23"/>
      <c r="L213" s="23"/>
      <c r="M213" s="23"/>
      <c r="N213" s="23"/>
      <c r="O213" s="16"/>
      <c r="P213" s="23"/>
      <c r="Q213" s="28"/>
      <c r="R213" s="32"/>
      <c r="S213" s="28"/>
      <c r="T213" s="88"/>
      <c r="U213" s="26"/>
      <c r="V213" s="23"/>
      <c r="W213" s="23"/>
      <c r="X213" s="23"/>
      <c r="Y213" s="23"/>
      <c r="Z213" s="23"/>
      <c r="AA213" s="16"/>
      <c r="AB213" s="23"/>
      <c r="AC213" s="28"/>
      <c r="AD213" s="32"/>
      <c r="AE213" s="28"/>
      <c r="AF213" s="29"/>
      <c r="AG213" s="26"/>
      <c r="AH213" s="23"/>
      <c r="AI213" s="23"/>
      <c r="AJ213" s="23"/>
      <c r="AK213" s="23"/>
      <c r="AL213" s="23"/>
    </row>
    <row r="214" spans="1:39" ht="17.25" customHeight="1" x14ac:dyDescent="0.2">
      <c r="A214" s="50">
        <v>46211</v>
      </c>
      <c r="B214" s="60"/>
      <c r="C214" s="33"/>
      <c r="D214" s="4" t="s">
        <v>31</v>
      </c>
      <c r="E214" s="23"/>
      <c r="F214" s="32"/>
      <c r="G214" s="28"/>
      <c r="H214" s="30"/>
      <c r="I214" s="26"/>
      <c r="J214" s="23"/>
      <c r="K214" s="23"/>
      <c r="L214" s="23"/>
      <c r="M214" s="23"/>
      <c r="N214" s="23"/>
      <c r="O214" s="16"/>
      <c r="P214" s="23"/>
      <c r="Q214" s="28"/>
      <c r="R214" s="32"/>
      <c r="S214" s="28"/>
      <c r="T214" s="74"/>
      <c r="U214" s="26"/>
      <c r="V214" s="23"/>
      <c r="W214" s="23"/>
      <c r="X214" s="23"/>
      <c r="Y214" s="23"/>
      <c r="Z214" s="23"/>
      <c r="AA214" s="16"/>
      <c r="AB214" s="23"/>
      <c r="AC214" s="28"/>
      <c r="AD214" s="32"/>
      <c r="AE214" s="58"/>
      <c r="AF214" s="59"/>
      <c r="AG214" s="26"/>
      <c r="AH214" s="23"/>
      <c r="AI214" s="23"/>
      <c r="AJ214" s="23"/>
      <c r="AK214" s="23"/>
      <c r="AL214" s="23"/>
    </row>
    <row r="215" spans="1:39" ht="17.25" customHeight="1" x14ac:dyDescent="0.2">
      <c r="A215" s="50">
        <v>46212</v>
      </c>
      <c r="B215" s="60"/>
      <c r="C215" s="22">
        <f>C207+1</f>
        <v>28</v>
      </c>
      <c r="D215" s="4" t="s">
        <v>33</v>
      </c>
      <c r="E215" s="23"/>
      <c r="F215" s="32"/>
      <c r="G215" s="28"/>
      <c r="H215" s="30"/>
      <c r="I215" s="26"/>
      <c r="J215" s="23"/>
      <c r="K215" s="23"/>
      <c r="L215" s="23"/>
      <c r="M215" s="23"/>
      <c r="N215" s="23"/>
      <c r="O215" s="16"/>
      <c r="P215" s="23"/>
      <c r="Q215" s="28"/>
      <c r="R215" s="32"/>
      <c r="S215" s="28"/>
      <c r="T215" s="74"/>
      <c r="U215" s="26"/>
      <c r="V215" s="23"/>
      <c r="W215" s="23"/>
      <c r="X215" s="23"/>
      <c r="Y215" s="23"/>
      <c r="Z215" s="23"/>
      <c r="AA215" s="16"/>
      <c r="AB215" s="23"/>
      <c r="AC215" s="28"/>
      <c r="AD215" s="32"/>
      <c r="AE215" s="28"/>
      <c r="AF215" s="29"/>
      <c r="AG215" s="26"/>
      <c r="AH215" s="23"/>
      <c r="AI215" s="23"/>
      <c r="AJ215" s="23"/>
      <c r="AK215" s="23"/>
      <c r="AL215" s="23"/>
    </row>
    <row r="216" spans="1:39" ht="17.25" customHeight="1" x14ac:dyDescent="0.2">
      <c r="A216" s="50">
        <v>46213</v>
      </c>
      <c r="B216" s="60"/>
      <c r="C216" s="33"/>
      <c r="D216" s="4" t="s">
        <v>35</v>
      </c>
      <c r="E216" s="23"/>
      <c r="F216" s="32"/>
      <c r="G216" s="28"/>
      <c r="H216" s="85"/>
      <c r="I216" s="26"/>
      <c r="J216" s="23"/>
      <c r="K216" s="23"/>
      <c r="L216" s="23"/>
      <c r="M216" s="23"/>
      <c r="N216" s="23"/>
      <c r="O216" s="16"/>
      <c r="P216" s="23"/>
      <c r="Q216" s="28"/>
      <c r="R216" s="32"/>
      <c r="S216" s="28"/>
      <c r="T216" s="65"/>
      <c r="U216" s="26"/>
      <c r="V216" s="23"/>
      <c r="W216" s="23"/>
      <c r="X216" s="23"/>
      <c r="Y216" s="23"/>
      <c r="Z216" s="23"/>
      <c r="AA216" s="16"/>
      <c r="AB216" s="23"/>
      <c r="AC216" s="28"/>
      <c r="AD216" s="32"/>
      <c r="AE216" s="28"/>
      <c r="AF216" s="29"/>
      <c r="AG216" s="26"/>
      <c r="AH216" s="23"/>
      <c r="AI216" s="23"/>
      <c r="AJ216" s="23"/>
      <c r="AK216" s="23"/>
      <c r="AL216" s="23"/>
    </row>
    <row r="217" spans="1:39" ht="17.25" customHeight="1" x14ac:dyDescent="0.2">
      <c r="A217" s="50">
        <v>46214</v>
      </c>
      <c r="B217" s="60"/>
      <c r="C217" s="33"/>
      <c r="D217" s="4" t="s">
        <v>36</v>
      </c>
      <c r="E217" s="23"/>
      <c r="F217" s="32"/>
      <c r="G217" s="28"/>
      <c r="H217" s="30"/>
      <c r="I217" s="26"/>
      <c r="J217" s="23"/>
      <c r="K217" s="23"/>
      <c r="L217" s="23"/>
      <c r="M217" s="23"/>
      <c r="N217" s="23"/>
      <c r="O217" s="16"/>
      <c r="P217" s="23"/>
      <c r="Q217" s="28"/>
      <c r="R217" s="32"/>
      <c r="S217" s="28"/>
      <c r="T217" s="74"/>
      <c r="U217" s="26"/>
      <c r="V217" s="23"/>
      <c r="W217" s="23"/>
      <c r="X217" s="23"/>
      <c r="Y217" s="23"/>
      <c r="Z217" s="23"/>
      <c r="AA217" s="16"/>
      <c r="AB217" s="23"/>
      <c r="AC217" s="28"/>
      <c r="AD217" s="32"/>
      <c r="AE217" s="28"/>
      <c r="AF217" s="29"/>
      <c r="AG217" s="26"/>
      <c r="AH217" s="23"/>
      <c r="AI217" s="23"/>
      <c r="AJ217" s="23"/>
      <c r="AK217" s="23"/>
      <c r="AL217" s="23"/>
    </row>
    <row r="218" spans="1:39" ht="17.25" customHeight="1" x14ac:dyDescent="0.2">
      <c r="A218" s="50">
        <v>46215</v>
      </c>
      <c r="B218" s="60"/>
      <c r="C218" s="33"/>
      <c r="D218" s="4" t="s">
        <v>37</v>
      </c>
      <c r="E218" s="23"/>
      <c r="F218" s="32"/>
      <c r="G218" s="28"/>
      <c r="H218" s="30"/>
      <c r="I218" s="26"/>
      <c r="J218" s="23"/>
      <c r="K218" s="23"/>
      <c r="L218" s="23"/>
      <c r="M218" s="23"/>
      <c r="N218" s="23"/>
      <c r="O218" s="16"/>
      <c r="P218" s="23"/>
      <c r="Q218" s="28"/>
      <c r="R218" s="32"/>
      <c r="S218" s="28"/>
      <c r="T218" s="65"/>
      <c r="U218" s="26"/>
      <c r="V218" s="23"/>
      <c r="W218" s="23"/>
      <c r="X218" s="23"/>
      <c r="Y218" s="23"/>
      <c r="Z218" s="23"/>
      <c r="AA218" s="16"/>
      <c r="AB218" s="23"/>
      <c r="AC218" s="28"/>
      <c r="AD218" s="32"/>
      <c r="AE218" s="28"/>
      <c r="AF218" s="29"/>
      <c r="AG218" s="26"/>
      <c r="AH218" s="23"/>
      <c r="AI218" s="23"/>
      <c r="AJ218" s="23"/>
      <c r="AK218" s="23"/>
      <c r="AL218" s="23"/>
    </row>
    <row r="219" spans="1:39" ht="17.25" customHeight="1" x14ac:dyDescent="0.2">
      <c r="A219" s="48"/>
      <c r="B219" s="60"/>
      <c r="C219" s="77"/>
      <c r="D219" s="15"/>
      <c r="E219" s="14"/>
      <c r="F219" s="15"/>
      <c r="G219" s="16"/>
      <c r="H219" s="15"/>
      <c r="I219" s="17"/>
      <c r="J219" s="17"/>
      <c r="K219" s="17"/>
      <c r="L219" s="17"/>
      <c r="M219" s="17"/>
      <c r="N219" s="17"/>
      <c r="O219" s="15"/>
      <c r="P219" s="14"/>
      <c r="Q219" s="16"/>
      <c r="R219" s="15"/>
      <c r="S219" s="16"/>
      <c r="T219" s="15"/>
      <c r="U219" s="17"/>
      <c r="V219" s="17"/>
      <c r="W219" s="17"/>
      <c r="X219" s="17"/>
      <c r="Y219" s="17"/>
      <c r="Z219" s="17"/>
      <c r="AA219" s="15"/>
      <c r="AB219" s="14"/>
      <c r="AC219" s="16"/>
      <c r="AD219" s="15"/>
      <c r="AE219" s="16"/>
      <c r="AF219" s="15"/>
      <c r="AG219" s="17"/>
      <c r="AH219" s="17"/>
      <c r="AI219" s="17"/>
      <c r="AJ219" s="17"/>
      <c r="AK219" s="17"/>
      <c r="AL219" s="17"/>
      <c r="AM219" s="15"/>
    </row>
    <row r="220" spans="1:39" ht="17.25" customHeight="1" x14ac:dyDescent="0.2">
      <c r="A220" s="50">
        <v>46216</v>
      </c>
      <c r="B220" s="60"/>
      <c r="C220" s="33"/>
      <c r="D220" s="4" t="s">
        <v>19</v>
      </c>
      <c r="E220" s="23"/>
      <c r="F220" s="32"/>
      <c r="G220" s="28"/>
      <c r="H220" s="23"/>
      <c r="I220" s="26"/>
      <c r="J220" s="23"/>
      <c r="K220" s="23"/>
      <c r="L220" s="23"/>
      <c r="M220" s="23"/>
      <c r="N220" s="23"/>
      <c r="O220" s="16"/>
      <c r="P220" s="23"/>
      <c r="Q220" s="28"/>
      <c r="R220" s="32"/>
      <c r="S220" s="58"/>
      <c r="T220" s="74"/>
      <c r="U220" s="26"/>
      <c r="V220" s="23"/>
      <c r="W220" s="23"/>
      <c r="X220" s="23"/>
      <c r="Y220" s="23"/>
      <c r="Z220" s="23"/>
      <c r="AA220" s="16"/>
      <c r="AB220" s="23"/>
      <c r="AC220" s="28"/>
      <c r="AD220" s="32"/>
      <c r="AE220" s="28"/>
      <c r="AF220" s="29"/>
      <c r="AG220" s="26"/>
      <c r="AH220" s="23"/>
      <c r="AI220" s="23"/>
      <c r="AJ220" s="23"/>
      <c r="AK220" s="23"/>
      <c r="AL220" s="23"/>
    </row>
    <row r="221" spans="1:39" ht="17.25" customHeight="1" x14ac:dyDescent="0.2">
      <c r="A221" s="50">
        <v>46217</v>
      </c>
      <c r="B221" s="60" t="s">
        <v>193</v>
      </c>
      <c r="C221" s="33"/>
      <c r="D221" s="4" t="s">
        <v>27</v>
      </c>
      <c r="E221" s="23"/>
      <c r="F221" s="32"/>
      <c r="G221" s="28"/>
      <c r="H221" s="30"/>
      <c r="I221" s="26"/>
      <c r="J221" s="23"/>
      <c r="K221" s="23"/>
      <c r="L221" s="23"/>
      <c r="M221" s="23"/>
      <c r="N221" s="23"/>
      <c r="O221" s="16"/>
      <c r="P221" s="23"/>
      <c r="Q221" s="28"/>
      <c r="R221" s="32"/>
      <c r="S221" s="28"/>
      <c r="T221" s="88"/>
      <c r="U221" s="26"/>
      <c r="V221" s="23"/>
      <c r="W221" s="23"/>
      <c r="X221" s="23"/>
      <c r="Y221" s="23"/>
      <c r="Z221" s="23"/>
      <c r="AA221" s="16"/>
      <c r="AB221" s="23"/>
      <c r="AC221" s="28"/>
      <c r="AD221" s="32"/>
      <c r="AE221" s="28"/>
      <c r="AF221" s="30"/>
      <c r="AG221" s="26"/>
      <c r="AH221" s="23"/>
      <c r="AI221" s="23"/>
      <c r="AJ221" s="23"/>
      <c r="AK221" s="23"/>
      <c r="AL221" s="23"/>
    </row>
    <row r="222" spans="1:39" ht="17.25" customHeight="1" x14ac:dyDescent="0.2">
      <c r="A222" s="50">
        <v>46218</v>
      </c>
      <c r="B222" s="99"/>
      <c r="C222" s="33"/>
      <c r="D222" s="4" t="s">
        <v>31</v>
      </c>
      <c r="E222" s="23"/>
      <c r="F222" s="32"/>
      <c r="G222" s="28"/>
      <c r="H222" s="30"/>
      <c r="I222" s="26"/>
      <c r="J222" s="23"/>
      <c r="K222" s="23"/>
      <c r="L222" s="23"/>
      <c r="M222" s="23"/>
      <c r="N222" s="23"/>
      <c r="O222" s="16"/>
      <c r="P222" s="23"/>
      <c r="Q222" s="28"/>
      <c r="R222" s="32"/>
      <c r="S222" s="58"/>
      <c r="T222" s="74"/>
      <c r="U222" s="26"/>
      <c r="V222" s="23"/>
      <c r="W222" s="23"/>
      <c r="X222" s="23"/>
      <c r="Y222" s="23"/>
      <c r="Z222" s="23"/>
      <c r="AA222" s="16"/>
      <c r="AB222" s="23"/>
      <c r="AC222" s="28"/>
      <c r="AD222" s="32"/>
      <c r="AE222" s="58"/>
      <c r="AF222" s="59"/>
      <c r="AG222" s="26"/>
      <c r="AH222" s="23"/>
      <c r="AI222" s="23"/>
      <c r="AJ222" s="23"/>
      <c r="AK222" s="23"/>
      <c r="AL222" s="23"/>
    </row>
    <row r="223" spans="1:39" ht="17.25" customHeight="1" x14ac:dyDescent="0.2">
      <c r="A223" s="50">
        <v>46219</v>
      </c>
      <c r="B223" s="60"/>
      <c r="C223" s="22">
        <f>C215+1</f>
        <v>29</v>
      </c>
      <c r="D223" s="4" t="s">
        <v>33</v>
      </c>
      <c r="E223" s="23"/>
      <c r="F223" s="32"/>
      <c r="G223" s="28"/>
      <c r="H223" s="30"/>
      <c r="I223" s="26"/>
      <c r="J223" s="23"/>
      <c r="K223" s="23"/>
      <c r="L223" s="23"/>
      <c r="M223" s="23"/>
      <c r="N223" s="23"/>
      <c r="O223" s="16"/>
      <c r="P223" s="23"/>
      <c r="Q223" s="28"/>
      <c r="R223" s="32"/>
      <c r="S223" s="28"/>
      <c r="T223" s="74"/>
      <c r="U223" s="26"/>
      <c r="V223" s="23"/>
      <c r="W223" s="23"/>
      <c r="X223" s="23"/>
      <c r="Y223" s="23"/>
      <c r="Z223" s="23"/>
      <c r="AA223" s="16"/>
      <c r="AB223" s="23"/>
      <c r="AC223" s="28"/>
      <c r="AD223" s="32"/>
      <c r="AE223" s="28"/>
      <c r="AF223" s="29"/>
      <c r="AG223" s="26"/>
      <c r="AH223" s="23"/>
      <c r="AI223" s="23"/>
      <c r="AJ223" s="23"/>
      <c r="AK223" s="23"/>
      <c r="AL223" s="23"/>
    </row>
    <row r="224" spans="1:39" ht="17.25" customHeight="1" x14ac:dyDescent="0.2">
      <c r="A224" s="50">
        <v>46220</v>
      </c>
      <c r="B224" s="60"/>
      <c r="C224" s="33"/>
      <c r="D224" s="4" t="s">
        <v>35</v>
      </c>
      <c r="E224" s="23"/>
      <c r="F224" s="32"/>
      <c r="G224" s="28"/>
      <c r="H224" s="30"/>
      <c r="I224" s="26"/>
      <c r="J224" s="23"/>
      <c r="K224" s="23"/>
      <c r="L224" s="23"/>
      <c r="M224" s="23"/>
      <c r="N224" s="23"/>
      <c r="O224" s="16"/>
      <c r="P224" s="23"/>
      <c r="Q224" s="28"/>
      <c r="R224" s="32"/>
      <c r="S224" s="28"/>
      <c r="T224" s="65"/>
      <c r="U224" s="26"/>
      <c r="V224" s="23"/>
      <c r="W224" s="23"/>
      <c r="X224" s="23"/>
      <c r="Y224" s="23"/>
      <c r="Z224" s="23"/>
      <c r="AA224" s="16"/>
      <c r="AB224" s="23"/>
      <c r="AC224" s="28"/>
      <c r="AD224" s="32"/>
      <c r="AE224" s="28"/>
      <c r="AF224" s="29"/>
      <c r="AG224" s="26"/>
      <c r="AH224" s="23"/>
      <c r="AI224" s="23"/>
      <c r="AJ224" s="23"/>
      <c r="AK224" s="23"/>
      <c r="AL224" s="23"/>
    </row>
    <row r="225" spans="1:39" ht="17.25" customHeight="1" x14ac:dyDescent="0.2">
      <c r="A225" s="50">
        <v>46221</v>
      </c>
      <c r="B225" s="60"/>
      <c r="C225" s="33"/>
      <c r="D225" s="4" t="s">
        <v>36</v>
      </c>
      <c r="E225" s="23"/>
      <c r="F225" s="32"/>
      <c r="G225" s="28"/>
      <c r="H225" s="85"/>
      <c r="I225" s="26"/>
      <c r="J225" s="23"/>
      <c r="K225" s="23"/>
      <c r="L225" s="23"/>
      <c r="M225" s="23"/>
      <c r="N225" s="23"/>
      <c r="O225" s="16"/>
      <c r="P225" s="23"/>
      <c r="Q225" s="28"/>
      <c r="R225" s="32"/>
      <c r="S225" s="28"/>
      <c r="T225" s="74"/>
      <c r="U225" s="26"/>
      <c r="V225" s="23"/>
      <c r="W225" s="23"/>
      <c r="X225" s="23"/>
      <c r="Y225" s="23"/>
      <c r="Z225" s="23"/>
      <c r="AA225" s="16"/>
      <c r="AB225" s="23"/>
      <c r="AC225" s="28"/>
      <c r="AD225" s="32"/>
      <c r="AE225" s="28"/>
      <c r="AF225" s="29"/>
      <c r="AG225" s="26"/>
      <c r="AH225" s="23"/>
      <c r="AI225" s="23"/>
      <c r="AJ225" s="23"/>
      <c r="AK225" s="23"/>
      <c r="AL225" s="23"/>
    </row>
    <row r="226" spans="1:39" ht="17.25" customHeight="1" x14ac:dyDescent="0.2">
      <c r="A226" s="50">
        <v>46222</v>
      </c>
      <c r="B226" s="2"/>
      <c r="C226" s="33"/>
      <c r="D226" s="4" t="s">
        <v>37</v>
      </c>
      <c r="E226" s="23"/>
      <c r="F226" s="32"/>
      <c r="G226" s="28"/>
      <c r="H226" s="30"/>
      <c r="I226" s="26"/>
      <c r="J226" s="23"/>
      <c r="K226" s="23"/>
      <c r="L226" s="23"/>
      <c r="M226" s="23"/>
      <c r="N226" s="23"/>
      <c r="O226" s="16"/>
      <c r="P226" s="23"/>
      <c r="Q226" s="28"/>
      <c r="R226" s="32"/>
      <c r="S226" s="28"/>
      <c r="T226" s="65"/>
      <c r="U226" s="26"/>
      <c r="V226" s="23"/>
      <c r="W226" s="23"/>
      <c r="X226" s="23"/>
      <c r="Y226" s="23"/>
      <c r="Z226" s="23"/>
      <c r="AA226" s="16"/>
      <c r="AB226" s="23"/>
      <c r="AC226" s="28"/>
      <c r="AD226" s="32"/>
      <c r="AE226" s="28"/>
      <c r="AF226" s="29"/>
      <c r="AG226" s="26"/>
      <c r="AH226" s="23"/>
      <c r="AI226" s="23"/>
      <c r="AJ226" s="23"/>
      <c r="AK226" s="23"/>
      <c r="AL226" s="23"/>
    </row>
    <row r="227" spans="1:39" ht="17.25" customHeight="1" x14ac:dyDescent="0.2">
      <c r="A227" s="48"/>
      <c r="B227" s="60"/>
      <c r="C227" s="77"/>
      <c r="D227" s="15"/>
      <c r="E227" s="14"/>
      <c r="F227" s="15"/>
      <c r="G227" s="16"/>
      <c r="H227" s="15"/>
      <c r="I227" s="17"/>
      <c r="J227" s="17"/>
      <c r="K227" s="17"/>
      <c r="L227" s="17"/>
      <c r="M227" s="17"/>
      <c r="N227" s="17"/>
      <c r="O227" s="15"/>
      <c r="P227" s="14"/>
      <c r="Q227" s="16"/>
      <c r="R227" s="15"/>
      <c r="S227" s="16"/>
      <c r="T227" s="15"/>
      <c r="U227" s="17"/>
      <c r="V227" s="17"/>
      <c r="W227" s="17"/>
      <c r="X227" s="17"/>
      <c r="Y227" s="17"/>
      <c r="Z227" s="17"/>
      <c r="AA227" s="15"/>
      <c r="AB227" s="14"/>
      <c r="AC227" s="16"/>
      <c r="AD227" s="15"/>
      <c r="AE227" s="16"/>
      <c r="AF227" s="15"/>
      <c r="AG227" s="17"/>
      <c r="AH227" s="17"/>
      <c r="AI227" s="17"/>
      <c r="AJ227" s="17"/>
      <c r="AK227" s="17"/>
      <c r="AL227" s="17"/>
      <c r="AM227" s="15"/>
    </row>
    <row r="228" spans="1:39" ht="17.25" customHeight="1" x14ac:dyDescent="0.2">
      <c r="A228" s="50">
        <v>46223</v>
      </c>
      <c r="B228" s="60"/>
      <c r="C228" s="33"/>
      <c r="D228" s="4" t="s">
        <v>19</v>
      </c>
      <c r="E228" s="23"/>
      <c r="F228" s="32"/>
      <c r="G228" s="28"/>
      <c r="H228" s="85"/>
      <c r="I228" s="26"/>
      <c r="J228" s="23"/>
      <c r="K228" s="23"/>
      <c r="L228" s="23"/>
      <c r="M228" s="23"/>
      <c r="N228" s="23"/>
      <c r="O228" s="16"/>
      <c r="P228" s="23"/>
      <c r="Q228" s="28"/>
      <c r="R228" s="32"/>
      <c r="S228" s="28"/>
      <c r="T228" s="74"/>
      <c r="U228" s="26"/>
      <c r="V228" s="23"/>
      <c r="W228" s="23"/>
      <c r="X228" s="23"/>
      <c r="Y228" s="23"/>
      <c r="Z228" s="23"/>
      <c r="AA228" s="16"/>
      <c r="AB228" s="23"/>
      <c r="AC228" s="28"/>
      <c r="AD228" s="32"/>
      <c r="AE228" s="28"/>
      <c r="AF228" s="29"/>
      <c r="AG228" s="26"/>
      <c r="AH228" s="23"/>
      <c r="AI228" s="23"/>
      <c r="AJ228" s="23"/>
      <c r="AK228" s="23"/>
      <c r="AL228" s="23"/>
    </row>
    <row r="229" spans="1:39" ht="17.25" customHeight="1" x14ac:dyDescent="0.2">
      <c r="A229" s="50">
        <v>46224</v>
      </c>
      <c r="B229" s="60"/>
      <c r="C229" s="33"/>
      <c r="D229" s="4" t="s">
        <v>27</v>
      </c>
      <c r="E229" s="23"/>
      <c r="F229" s="32"/>
      <c r="G229" s="28"/>
      <c r="H229" s="30"/>
      <c r="I229" s="26"/>
      <c r="J229" s="23"/>
      <c r="K229" s="23"/>
      <c r="L229" s="23"/>
      <c r="M229" s="23"/>
      <c r="N229" s="23"/>
      <c r="O229" s="16"/>
      <c r="P229" s="23"/>
      <c r="Q229" s="28"/>
      <c r="R229" s="32"/>
      <c r="S229" s="28"/>
      <c r="T229" s="88"/>
      <c r="U229" s="26"/>
      <c r="V229" s="23"/>
      <c r="W229" s="23"/>
      <c r="X229" s="23"/>
      <c r="Y229" s="23"/>
      <c r="Z229" s="23"/>
      <c r="AA229" s="16"/>
      <c r="AB229" s="23"/>
      <c r="AC229" s="28"/>
      <c r="AD229" s="32"/>
      <c r="AE229" s="28"/>
      <c r="AF229" s="29"/>
      <c r="AG229" s="26"/>
      <c r="AH229" s="23"/>
      <c r="AI229" s="23"/>
      <c r="AJ229" s="23"/>
      <c r="AK229" s="23"/>
      <c r="AL229" s="23"/>
    </row>
    <row r="230" spans="1:39" ht="17.25" customHeight="1" x14ac:dyDescent="0.2">
      <c r="A230" s="50">
        <v>46225</v>
      </c>
      <c r="B230" s="60"/>
      <c r="C230" s="33"/>
      <c r="D230" s="4" t="s">
        <v>31</v>
      </c>
      <c r="E230" s="23"/>
      <c r="F230" s="32"/>
      <c r="G230" s="28"/>
      <c r="H230" s="30"/>
      <c r="I230" s="26"/>
      <c r="J230" s="23"/>
      <c r="K230" s="23"/>
      <c r="L230" s="23"/>
      <c r="M230" s="23"/>
      <c r="N230" s="23"/>
      <c r="O230" s="16"/>
      <c r="P230" s="23"/>
      <c r="Q230" s="28"/>
      <c r="R230" s="32"/>
      <c r="S230" s="28"/>
      <c r="T230" s="74"/>
      <c r="U230" s="26"/>
      <c r="V230" s="23"/>
      <c r="W230" s="23"/>
      <c r="X230" s="23"/>
      <c r="Y230" s="23"/>
      <c r="Z230" s="23"/>
      <c r="AA230" s="16"/>
      <c r="AB230" s="23"/>
      <c r="AC230" s="28"/>
      <c r="AD230" s="32"/>
      <c r="AE230" s="58"/>
      <c r="AF230" s="59"/>
      <c r="AG230" s="26"/>
      <c r="AH230" s="23"/>
      <c r="AI230" s="23"/>
      <c r="AJ230" s="23"/>
      <c r="AK230" s="23"/>
      <c r="AL230" s="23"/>
    </row>
    <row r="231" spans="1:39" ht="17.25" customHeight="1" x14ac:dyDescent="0.2">
      <c r="A231" s="50">
        <v>46226</v>
      </c>
      <c r="B231" s="60"/>
      <c r="C231" s="22">
        <f>C223+1</f>
        <v>30</v>
      </c>
      <c r="D231" s="4" t="s">
        <v>33</v>
      </c>
      <c r="E231" s="23"/>
      <c r="F231" s="32"/>
      <c r="G231" s="28"/>
      <c r="H231" s="30"/>
      <c r="I231" s="26"/>
      <c r="J231" s="23"/>
      <c r="K231" s="23"/>
      <c r="L231" s="23"/>
      <c r="M231" s="23"/>
      <c r="N231" s="23"/>
      <c r="O231" s="16"/>
      <c r="P231" s="23"/>
      <c r="Q231" s="28"/>
      <c r="R231" s="32"/>
      <c r="S231" s="28"/>
      <c r="T231" s="74"/>
      <c r="U231" s="26"/>
      <c r="V231" s="23"/>
      <c r="W231" s="23"/>
      <c r="X231" s="23"/>
      <c r="Y231" s="23"/>
      <c r="Z231" s="23"/>
      <c r="AA231" s="16"/>
      <c r="AB231" s="23"/>
      <c r="AC231" s="28"/>
      <c r="AD231" s="32"/>
      <c r="AE231" s="28"/>
      <c r="AF231" s="29"/>
      <c r="AG231" s="26"/>
      <c r="AH231" s="23"/>
      <c r="AI231" s="23"/>
      <c r="AJ231" s="23"/>
      <c r="AK231" s="23"/>
      <c r="AL231" s="23"/>
    </row>
    <row r="232" spans="1:39" ht="17.25" customHeight="1" x14ac:dyDescent="0.2">
      <c r="A232" s="50">
        <v>46227</v>
      </c>
      <c r="B232" s="60"/>
      <c r="C232" s="33"/>
      <c r="D232" s="4" t="s">
        <v>35</v>
      </c>
      <c r="E232" s="23"/>
      <c r="F232" s="32"/>
      <c r="G232" s="28"/>
      <c r="H232" s="30"/>
      <c r="I232" s="26"/>
      <c r="J232" s="23"/>
      <c r="K232" s="23"/>
      <c r="L232" s="23"/>
      <c r="M232" s="23"/>
      <c r="N232" s="23"/>
      <c r="O232" s="16"/>
      <c r="P232" s="23"/>
      <c r="Q232" s="28"/>
      <c r="R232" s="32"/>
      <c r="S232" s="28"/>
      <c r="T232" s="65"/>
      <c r="U232" s="26"/>
      <c r="V232" s="23"/>
      <c r="W232" s="23"/>
      <c r="X232" s="23"/>
      <c r="Y232" s="23"/>
      <c r="Z232" s="23"/>
      <c r="AA232" s="16"/>
      <c r="AB232" s="23"/>
      <c r="AC232" s="28"/>
      <c r="AD232" s="32"/>
      <c r="AE232" s="28"/>
      <c r="AF232" s="29"/>
      <c r="AG232" s="26"/>
      <c r="AH232" s="23"/>
      <c r="AI232" s="23"/>
      <c r="AJ232" s="23"/>
      <c r="AK232" s="23"/>
      <c r="AL232" s="23"/>
    </row>
    <row r="233" spans="1:39" ht="17.25" customHeight="1" x14ac:dyDescent="0.2">
      <c r="A233" s="50">
        <v>46228</v>
      </c>
      <c r="B233" s="60"/>
      <c r="C233" s="33"/>
      <c r="D233" s="4" t="s">
        <v>36</v>
      </c>
      <c r="E233" s="23"/>
      <c r="F233" s="32"/>
      <c r="G233" s="28"/>
      <c r="H233" s="85"/>
      <c r="I233" s="26"/>
      <c r="J233" s="23"/>
      <c r="K233" s="23"/>
      <c r="L233" s="23"/>
      <c r="M233" s="23"/>
      <c r="N233" s="23"/>
      <c r="O233" s="16"/>
      <c r="P233" s="23"/>
      <c r="Q233" s="28"/>
      <c r="R233" s="32"/>
      <c r="S233" s="28"/>
      <c r="T233" s="74"/>
      <c r="U233" s="26"/>
      <c r="V233" s="23"/>
      <c r="W233" s="23"/>
      <c r="X233" s="23"/>
      <c r="Y233" s="23"/>
      <c r="Z233" s="23"/>
      <c r="AA233" s="16"/>
      <c r="AB233" s="23"/>
      <c r="AC233" s="28"/>
      <c r="AD233" s="32"/>
      <c r="AE233" s="28"/>
      <c r="AF233" s="29"/>
      <c r="AG233" s="26"/>
      <c r="AH233" s="23"/>
      <c r="AI233" s="23"/>
      <c r="AJ233" s="23"/>
      <c r="AK233" s="23"/>
      <c r="AL233" s="23"/>
    </row>
    <row r="234" spans="1:39" ht="17.25" customHeight="1" x14ac:dyDescent="0.2">
      <c r="A234" s="50">
        <v>46229</v>
      </c>
      <c r="B234" s="60"/>
      <c r="C234" s="33"/>
      <c r="D234" s="4" t="s">
        <v>37</v>
      </c>
      <c r="E234" s="23"/>
      <c r="F234" s="32"/>
      <c r="G234" s="28"/>
      <c r="H234" s="30"/>
      <c r="I234" s="26"/>
      <c r="J234" s="23"/>
      <c r="K234" s="23"/>
      <c r="L234" s="23"/>
      <c r="M234" s="23"/>
      <c r="N234" s="23"/>
      <c r="O234" s="16"/>
      <c r="P234" s="23"/>
      <c r="Q234" s="28"/>
      <c r="R234" s="32"/>
      <c r="S234" s="28"/>
      <c r="T234" s="65"/>
      <c r="U234" s="26"/>
      <c r="V234" s="23"/>
      <c r="W234" s="23"/>
      <c r="X234" s="23"/>
      <c r="Y234" s="23"/>
      <c r="Z234" s="23"/>
      <c r="AA234" s="16"/>
      <c r="AB234" s="23"/>
      <c r="AC234" s="28"/>
      <c r="AD234" s="32"/>
      <c r="AE234" s="28"/>
      <c r="AF234" s="29"/>
      <c r="AG234" s="26"/>
      <c r="AH234" s="23"/>
      <c r="AI234" s="23"/>
      <c r="AJ234" s="23"/>
      <c r="AK234" s="23"/>
      <c r="AL234" s="23"/>
    </row>
    <row r="235" spans="1:39" ht="17.25" customHeight="1" x14ac:dyDescent="0.2">
      <c r="A235" s="48"/>
      <c r="B235" s="60"/>
      <c r="C235" s="77"/>
      <c r="D235" s="15"/>
      <c r="E235" s="14"/>
      <c r="F235" s="15"/>
      <c r="G235" s="16"/>
      <c r="H235" s="15"/>
      <c r="I235" s="17"/>
      <c r="J235" s="17"/>
      <c r="K235" s="17"/>
      <c r="L235" s="17"/>
      <c r="M235" s="17"/>
      <c r="N235" s="17"/>
      <c r="O235" s="15"/>
      <c r="P235" s="14"/>
      <c r="Q235" s="16"/>
      <c r="R235" s="15"/>
      <c r="S235" s="16"/>
      <c r="T235" s="15"/>
      <c r="U235" s="17"/>
      <c r="V235" s="17"/>
      <c r="W235" s="17"/>
      <c r="X235" s="17"/>
      <c r="Y235" s="17"/>
      <c r="Z235" s="17"/>
      <c r="AA235" s="15"/>
      <c r="AB235" s="14"/>
      <c r="AC235" s="16"/>
      <c r="AD235" s="15"/>
      <c r="AE235" s="16"/>
      <c r="AF235" s="15"/>
      <c r="AG235" s="17"/>
      <c r="AH235" s="17"/>
      <c r="AI235" s="17"/>
      <c r="AJ235" s="17"/>
      <c r="AK235" s="17"/>
      <c r="AL235" s="17"/>
      <c r="AM235" s="15"/>
    </row>
    <row r="236" spans="1:39" ht="17.25" customHeight="1" x14ac:dyDescent="0.2">
      <c r="A236" s="50">
        <v>46230</v>
      </c>
      <c r="B236" s="2"/>
      <c r="C236" s="33"/>
      <c r="D236" s="4" t="s">
        <v>19</v>
      </c>
      <c r="E236" s="23"/>
      <c r="F236" s="32"/>
      <c r="G236" s="28"/>
      <c r="H236" s="30"/>
      <c r="I236" s="26"/>
      <c r="J236" s="23"/>
      <c r="K236" s="23"/>
      <c r="L236" s="23"/>
      <c r="M236" s="23"/>
      <c r="N236" s="23"/>
      <c r="O236" s="16"/>
      <c r="P236" s="23"/>
      <c r="Q236" s="28"/>
      <c r="R236" s="32"/>
      <c r="S236" s="28"/>
      <c r="T236" s="74"/>
      <c r="U236" s="26"/>
      <c r="V236" s="23"/>
      <c r="W236" s="23"/>
      <c r="X236" s="23"/>
      <c r="Y236" s="23"/>
      <c r="Z236" s="23"/>
      <c r="AA236" s="16"/>
      <c r="AB236" s="23"/>
      <c r="AC236" s="28"/>
      <c r="AD236" s="32"/>
      <c r="AE236" s="28"/>
      <c r="AF236" s="29"/>
      <c r="AG236" s="26"/>
      <c r="AH236" s="23"/>
      <c r="AI236" s="23"/>
      <c r="AJ236" s="23"/>
      <c r="AK236" s="23"/>
      <c r="AL236" s="23"/>
    </row>
    <row r="237" spans="1:39" ht="17.25" customHeight="1" x14ac:dyDescent="0.2">
      <c r="A237" s="50">
        <v>46231</v>
      </c>
      <c r="B237" s="2"/>
      <c r="C237" s="33"/>
      <c r="D237" s="4" t="s">
        <v>27</v>
      </c>
      <c r="E237" s="23"/>
      <c r="F237" s="32"/>
      <c r="G237" s="28"/>
      <c r="H237" s="29"/>
      <c r="I237" s="26"/>
      <c r="J237" s="23"/>
      <c r="K237" s="23"/>
      <c r="L237" s="23"/>
      <c r="M237" s="23"/>
      <c r="N237" s="23"/>
      <c r="O237" s="16"/>
      <c r="P237" s="23"/>
      <c r="Q237" s="28"/>
      <c r="R237" s="32"/>
      <c r="S237" s="28"/>
      <c r="T237" s="88"/>
      <c r="U237" s="26"/>
      <c r="V237" s="23"/>
      <c r="W237" s="23"/>
      <c r="X237" s="23"/>
      <c r="Y237" s="23"/>
      <c r="Z237" s="23"/>
      <c r="AA237" s="16"/>
      <c r="AB237" s="23"/>
      <c r="AC237" s="28"/>
      <c r="AD237" s="32"/>
      <c r="AE237" s="28"/>
      <c r="AF237" s="29"/>
      <c r="AG237" s="26"/>
      <c r="AH237" s="23"/>
      <c r="AI237" s="23"/>
      <c r="AJ237" s="23"/>
      <c r="AK237" s="23"/>
      <c r="AL237" s="23"/>
    </row>
    <row r="238" spans="1:39" ht="17.25" customHeight="1" x14ac:dyDescent="0.2">
      <c r="A238" s="50">
        <v>46232</v>
      </c>
      <c r="B238" s="60"/>
      <c r="C238" s="33"/>
      <c r="D238" s="4" t="s">
        <v>31</v>
      </c>
      <c r="E238" s="23"/>
      <c r="F238" s="32"/>
      <c r="G238" s="28"/>
      <c r="H238" s="30"/>
      <c r="I238" s="26"/>
      <c r="J238" s="23"/>
      <c r="K238" s="23"/>
      <c r="L238" s="23"/>
      <c r="M238" s="23"/>
      <c r="N238" s="23"/>
      <c r="O238" s="16"/>
      <c r="P238" s="23"/>
      <c r="Q238" s="28"/>
      <c r="R238" s="32"/>
      <c r="S238" s="28"/>
      <c r="T238" s="74"/>
      <c r="U238" s="26"/>
      <c r="V238" s="23"/>
      <c r="W238" s="23"/>
      <c r="X238" s="23"/>
      <c r="Y238" s="23"/>
      <c r="Z238" s="23"/>
      <c r="AA238" s="16"/>
      <c r="AB238" s="23"/>
      <c r="AC238" s="28"/>
      <c r="AD238" s="32"/>
      <c r="AE238" s="28"/>
      <c r="AF238" s="30"/>
      <c r="AG238" s="26"/>
      <c r="AH238" s="23"/>
      <c r="AI238" s="23"/>
      <c r="AJ238" s="23"/>
      <c r="AK238" s="23"/>
      <c r="AL238" s="23"/>
    </row>
    <row r="239" spans="1:39" ht="17.25" customHeight="1" x14ac:dyDescent="0.2">
      <c r="A239" s="50">
        <v>46233</v>
      </c>
      <c r="B239" s="60"/>
      <c r="C239" s="22">
        <f>C231+1</f>
        <v>31</v>
      </c>
      <c r="D239" s="4" t="s">
        <v>33</v>
      </c>
      <c r="E239" s="23"/>
      <c r="F239" s="32"/>
      <c r="G239" s="28"/>
      <c r="H239" s="30"/>
      <c r="I239" s="26"/>
      <c r="J239" s="23"/>
      <c r="K239" s="23"/>
      <c r="L239" s="23"/>
      <c r="M239" s="23"/>
      <c r="N239" s="23"/>
      <c r="O239" s="16"/>
      <c r="P239" s="23"/>
      <c r="Q239" s="28"/>
      <c r="R239" s="32"/>
      <c r="S239" s="28"/>
      <c r="T239" s="74"/>
      <c r="U239" s="26"/>
      <c r="V239" s="23"/>
      <c r="W239" s="23"/>
      <c r="X239" s="23"/>
      <c r="Y239" s="23"/>
      <c r="Z239" s="23"/>
      <c r="AA239" s="16"/>
      <c r="AB239" s="23"/>
      <c r="AC239" s="28"/>
      <c r="AD239" s="32"/>
      <c r="AE239" s="28"/>
      <c r="AF239" s="30"/>
      <c r="AG239" s="26"/>
      <c r="AH239" s="23"/>
      <c r="AI239" s="23"/>
      <c r="AJ239" s="23"/>
      <c r="AK239" s="23"/>
      <c r="AL239" s="23"/>
    </row>
    <row r="240" spans="1:39" ht="17.25" customHeight="1" x14ac:dyDescent="0.2">
      <c r="A240" s="50">
        <v>46234</v>
      </c>
      <c r="B240" s="60"/>
      <c r="C240" s="33"/>
      <c r="D240" s="4" t="s">
        <v>35</v>
      </c>
      <c r="E240" s="23"/>
      <c r="F240" s="32"/>
      <c r="G240" s="28"/>
      <c r="H240" s="30"/>
      <c r="I240" s="26"/>
      <c r="J240" s="23"/>
      <c r="K240" s="23"/>
      <c r="L240" s="23"/>
      <c r="M240" s="23"/>
      <c r="N240" s="23"/>
      <c r="O240" s="16"/>
      <c r="P240" s="23"/>
      <c r="Q240" s="28"/>
      <c r="R240" s="32"/>
      <c r="S240" s="28"/>
      <c r="T240" s="65"/>
      <c r="U240" s="26"/>
      <c r="V240" s="23"/>
      <c r="W240" s="23"/>
      <c r="X240" s="23"/>
      <c r="Y240" s="23"/>
      <c r="Z240" s="23"/>
      <c r="AA240" s="16"/>
      <c r="AB240" s="23"/>
      <c r="AC240" s="28"/>
      <c r="AD240" s="32"/>
      <c r="AE240" s="28"/>
      <c r="AF240" s="29"/>
      <c r="AG240" s="26"/>
      <c r="AH240" s="23"/>
      <c r="AI240" s="23"/>
      <c r="AJ240" s="23"/>
      <c r="AK240" s="23"/>
      <c r="AL240" s="23"/>
    </row>
    <row r="241" spans="1:39" ht="17.25" customHeight="1" x14ac:dyDescent="0.2">
      <c r="A241" s="50">
        <v>46235</v>
      </c>
      <c r="B241" s="60"/>
      <c r="C241" s="33"/>
      <c r="D241" s="4" t="s">
        <v>36</v>
      </c>
      <c r="E241" s="23"/>
      <c r="F241" s="32"/>
      <c r="G241" s="28"/>
      <c r="H241" s="30"/>
      <c r="I241" s="26"/>
      <c r="J241" s="23"/>
      <c r="K241" s="23"/>
      <c r="L241" s="23"/>
      <c r="M241" s="23"/>
      <c r="N241" s="23"/>
      <c r="O241" s="16"/>
      <c r="P241" s="23"/>
      <c r="Q241" s="28"/>
      <c r="R241" s="32"/>
      <c r="S241" s="28"/>
      <c r="T241" s="74"/>
      <c r="U241" s="26"/>
      <c r="V241" s="23"/>
      <c r="W241" s="23"/>
      <c r="X241" s="23"/>
      <c r="Y241" s="23"/>
      <c r="Z241" s="23"/>
      <c r="AA241" s="16"/>
      <c r="AB241" s="23"/>
      <c r="AC241" s="28"/>
      <c r="AD241" s="32"/>
      <c r="AE241" s="28"/>
      <c r="AF241" s="29"/>
      <c r="AG241" s="26"/>
      <c r="AH241" s="23"/>
      <c r="AI241" s="23"/>
      <c r="AJ241" s="23"/>
      <c r="AK241" s="23"/>
      <c r="AL241" s="23"/>
    </row>
    <row r="242" spans="1:39" ht="17.25" customHeight="1" x14ac:dyDescent="0.2">
      <c r="A242" s="50">
        <v>46236</v>
      </c>
      <c r="B242" s="60"/>
      <c r="C242" s="33"/>
      <c r="D242" s="4" t="s">
        <v>37</v>
      </c>
      <c r="E242" s="23"/>
      <c r="F242" s="32"/>
      <c r="G242" s="28"/>
      <c r="H242" s="29"/>
      <c r="I242" s="26"/>
      <c r="J242" s="23"/>
      <c r="K242" s="23"/>
      <c r="L242" s="23"/>
      <c r="M242" s="23"/>
      <c r="N242" s="23"/>
      <c r="O242" s="16"/>
      <c r="P242" s="23"/>
      <c r="Q242" s="28"/>
      <c r="R242" s="32"/>
      <c r="S242" s="28"/>
      <c r="T242" s="65"/>
      <c r="U242" s="26"/>
      <c r="V242" s="23"/>
      <c r="W242" s="23"/>
      <c r="X242" s="23"/>
      <c r="Y242" s="23"/>
      <c r="Z242" s="23"/>
      <c r="AA242" s="16"/>
      <c r="AB242" s="23"/>
      <c r="AC242" s="28"/>
      <c r="AD242" s="32"/>
      <c r="AE242" s="28"/>
      <c r="AF242" s="29"/>
      <c r="AG242" s="26"/>
      <c r="AH242" s="23"/>
      <c r="AI242" s="23"/>
      <c r="AJ242" s="23"/>
      <c r="AK242" s="23"/>
      <c r="AL242" s="23"/>
    </row>
    <row r="243" spans="1:39" ht="17.25" customHeight="1" x14ac:dyDescent="0.2">
      <c r="A243" s="48"/>
      <c r="B243" s="60"/>
      <c r="C243" s="77"/>
      <c r="D243" s="15"/>
      <c r="E243" s="14"/>
      <c r="F243" s="15"/>
      <c r="G243" s="16"/>
      <c r="H243" s="15"/>
      <c r="I243" s="17"/>
      <c r="J243" s="17"/>
      <c r="K243" s="17"/>
      <c r="L243" s="17"/>
      <c r="M243" s="17"/>
      <c r="N243" s="17"/>
      <c r="O243" s="15"/>
      <c r="P243" s="14"/>
      <c r="Q243" s="16"/>
      <c r="R243" s="15"/>
      <c r="S243" s="16"/>
      <c r="T243" s="15"/>
      <c r="U243" s="17"/>
      <c r="V243" s="17"/>
      <c r="W243" s="17"/>
      <c r="X243" s="17"/>
      <c r="Y243" s="17"/>
      <c r="Z243" s="17"/>
      <c r="AA243" s="15"/>
      <c r="AB243" s="14"/>
      <c r="AC243" s="16"/>
      <c r="AD243" s="15"/>
      <c r="AE243" s="16"/>
      <c r="AF243" s="15"/>
      <c r="AG243" s="17"/>
      <c r="AH243" s="17"/>
      <c r="AI243" s="17"/>
      <c r="AJ243" s="17"/>
      <c r="AK243" s="17"/>
      <c r="AL243" s="17"/>
      <c r="AM243" s="15"/>
    </row>
    <row r="244" spans="1:39" ht="17.25" customHeight="1" x14ac:dyDescent="0.2">
      <c r="A244" s="50">
        <v>46237</v>
      </c>
      <c r="B244" s="41" t="s">
        <v>194</v>
      </c>
      <c r="C244" s="33"/>
      <c r="D244" s="4" t="s">
        <v>19</v>
      </c>
      <c r="E244" s="23"/>
      <c r="F244" s="32"/>
      <c r="G244" s="28"/>
      <c r="H244" s="30"/>
      <c r="I244" s="26"/>
      <c r="J244" s="23"/>
      <c r="K244" s="23"/>
      <c r="L244" s="23"/>
      <c r="M244" s="23"/>
      <c r="N244" s="23"/>
      <c r="O244" s="16"/>
      <c r="P244" s="23"/>
      <c r="Q244" s="28"/>
      <c r="R244" s="32"/>
      <c r="S244" s="28"/>
      <c r="T244" s="74"/>
      <c r="U244" s="26"/>
      <c r="V244" s="23"/>
      <c r="W244" s="23"/>
      <c r="X244" s="23"/>
      <c r="Y244" s="23"/>
      <c r="Z244" s="23"/>
      <c r="AA244" s="16"/>
      <c r="AB244" s="23"/>
      <c r="AC244" s="28"/>
      <c r="AD244" s="32"/>
      <c r="AE244" s="28"/>
      <c r="AF244" s="29"/>
      <c r="AG244" s="26"/>
      <c r="AH244" s="23"/>
      <c r="AI244" s="23"/>
      <c r="AJ244" s="23"/>
      <c r="AK244" s="23"/>
      <c r="AL244" s="23"/>
    </row>
    <row r="245" spans="1:39" ht="17.25" customHeight="1" x14ac:dyDescent="0.2">
      <c r="A245" s="50">
        <v>46238</v>
      </c>
      <c r="B245" s="60"/>
      <c r="C245" s="33"/>
      <c r="D245" s="4" t="s">
        <v>27</v>
      </c>
      <c r="E245" s="23"/>
      <c r="F245" s="32"/>
      <c r="G245" s="58"/>
      <c r="H245" s="29"/>
      <c r="I245" s="26"/>
      <c r="J245" s="23"/>
      <c r="K245" s="23"/>
      <c r="L245" s="23"/>
      <c r="M245" s="23"/>
      <c r="N245" s="23"/>
      <c r="O245" s="16"/>
      <c r="P245" s="23"/>
      <c r="Q245" s="28"/>
      <c r="R245" s="32"/>
      <c r="S245" s="28"/>
      <c r="T245" s="88"/>
      <c r="U245" s="26"/>
      <c r="V245" s="23"/>
      <c r="W245" s="23"/>
      <c r="X245" s="23"/>
      <c r="Y245" s="23"/>
      <c r="Z245" s="23"/>
      <c r="AA245" s="16"/>
      <c r="AB245" s="23"/>
      <c r="AC245" s="28"/>
      <c r="AD245" s="32"/>
      <c r="AE245" s="28"/>
      <c r="AF245" s="29"/>
      <c r="AG245" s="26"/>
      <c r="AH245" s="23"/>
      <c r="AI245" s="23"/>
      <c r="AJ245" s="23"/>
      <c r="AK245" s="23"/>
      <c r="AL245" s="23"/>
    </row>
    <row r="246" spans="1:39" ht="17.25" customHeight="1" x14ac:dyDescent="0.2">
      <c r="A246" s="50">
        <v>46239</v>
      </c>
      <c r="B246" s="60"/>
      <c r="C246" s="33"/>
      <c r="D246" s="4" t="s">
        <v>31</v>
      </c>
      <c r="E246" s="23"/>
      <c r="F246" s="32"/>
      <c r="G246" s="28"/>
      <c r="H246" s="30"/>
      <c r="I246" s="26"/>
      <c r="J246" s="23"/>
      <c r="K246" s="23"/>
      <c r="L246" s="23"/>
      <c r="M246" s="23"/>
      <c r="N246" s="23"/>
      <c r="O246" s="16"/>
      <c r="P246" s="23"/>
      <c r="Q246" s="28"/>
      <c r="R246" s="32"/>
      <c r="S246" s="28"/>
      <c r="T246" s="74"/>
      <c r="U246" s="26"/>
      <c r="V246" s="23"/>
      <c r="W246" s="23"/>
      <c r="X246" s="23"/>
      <c r="Y246" s="23"/>
      <c r="Z246" s="23"/>
      <c r="AA246" s="16"/>
      <c r="AB246" s="23"/>
      <c r="AC246" s="28"/>
      <c r="AD246" s="32"/>
      <c r="AE246" s="58"/>
      <c r="AF246" s="59"/>
      <c r="AG246" s="26"/>
      <c r="AH246" s="23"/>
      <c r="AI246" s="23"/>
      <c r="AJ246" s="23"/>
      <c r="AK246" s="23"/>
      <c r="AL246" s="23"/>
    </row>
    <row r="247" spans="1:39" ht="17.25" customHeight="1" x14ac:dyDescent="0.2">
      <c r="A247" s="50">
        <v>46240</v>
      </c>
      <c r="B247" s="60"/>
      <c r="C247" s="22">
        <f>C239+1</f>
        <v>32</v>
      </c>
      <c r="D247" s="4" t="s">
        <v>33</v>
      </c>
      <c r="E247" s="23"/>
      <c r="F247" s="32"/>
      <c r="G247" s="28"/>
      <c r="H247" s="85"/>
      <c r="I247" s="26"/>
      <c r="J247" s="23"/>
      <c r="K247" s="23"/>
      <c r="L247" s="23"/>
      <c r="M247" s="23"/>
      <c r="N247" s="23"/>
      <c r="O247" s="16"/>
      <c r="P247" s="23"/>
      <c r="Q247" s="28"/>
      <c r="R247" s="32"/>
      <c r="S247" s="28"/>
      <c r="T247" s="74"/>
      <c r="U247" s="26"/>
      <c r="V247" s="23"/>
      <c r="W247" s="23"/>
      <c r="X247" s="23"/>
      <c r="Y247" s="23"/>
      <c r="Z247" s="23"/>
      <c r="AA247" s="16"/>
      <c r="AB247" s="23"/>
      <c r="AC247" s="28"/>
      <c r="AD247" s="32"/>
      <c r="AE247" s="28"/>
      <c r="AF247" s="29"/>
      <c r="AG247" s="26"/>
      <c r="AH247" s="23"/>
      <c r="AI247" s="23"/>
      <c r="AJ247" s="23"/>
      <c r="AK247" s="23"/>
      <c r="AL247" s="23"/>
    </row>
    <row r="248" spans="1:39" ht="17.25" customHeight="1" x14ac:dyDescent="0.2">
      <c r="A248" s="50">
        <v>46241</v>
      </c>
      <c r="B248" s="100"/>
      <c r="C248" s="33"/>
      <c r="D248" s="4" t="s">
        <v>35</v>
      </c>
      <c r="E248" s="23"/>
      <c r="F248" s="32"/>
      <c r="G248" s="28"/>
      <c r="H248" s="29"/>
      <c r="I248" s="26"/>
      <c r="J248" s="23"/>
      <c r="K248" s="23"/>
      <c r="L248" s="23"/>
      <c r="M248" s="23"/>
      <c r="N248" s="23"/>
      <c r="O248" s="16"/>
      <c r="P248" s="23"/>
      <c r="Q248" s="28"/>
      <c r="R248" s="32"/>
      <c r="S248" s="28"/>
      <c r="T248" s="65"/>
      <c r="U248" s="26"/>
      <c r="V248" s="23"/>
      <c r="W248" s="23"/>
      <c r="X248" s="23"/>
      <c r="Y248" s="23"/>
      <c r="Z248" s="23"/>
      <c r="AA248" s="16"/>
      <c r="AB248" s="23"/>
      <c r="AC248" s="28"/>
      <c r="AD248" s="32"/>
      <c r="AE248" s="28"/>
      <c r="AF248" s="30"/>
      <c r="AG248" s="26"/>
      <c r="AH248" s="23"/>
      <c r="AI248" s="23"/>
      <c r="AJ248" s="23"/>
      <c r="AK248" s="23"/>
      <c r="AL248" s="23"/>
    </row>
    <row r="249" spans="1:39" ht="17.25" customHeight="1" x14ac:dyDescent="0.2">
      <c r="A249" s="50">
        <v>46242</v>
      </c>
      <c r="B249" s="60"/>
      <c r="C249" s="33"/>
      <c r="D249" s="4" t="s">
        <v>36</v>
      </c>
      <c r="E249" s="23"/>
      <c r="F249" s="32"/>
      <c r="G249" s="28"/>
      <c r="H249" s="30"/>
      <c r="I249" s="26"/>
      <c r="J249" s="23"/>
      <c r="K249" s="23"/>
      <c r="L249" s="23"/>
      <c r="M249" s="23"/>
      <c r="N249" s="23"/>
      <c r="P249" s="23"/>
      <c r="Q249" s="28"/>
      <c r="R249" s="32"/>
      <c r="S249" s="28"/>
      <c r="T249" s="74"/>
      <c r="U249" s="26"/>
      <c r="V249" s="23"/>
      <c r="W249" s="23"/>
      <c r="X249" s="23"/>
      <c r="Y249" s="23"/>
      <c r="Z249" s="23"/>
      <c r="AB249" s="23"/>
      <c r="AC249" s="28"/>
      <c r="AD249" s="32"/>
      <c r="AE249" s="28"/>
      <c r="AF249" s="29"/>
      <c r="AG249" s="26"/>
      <c r="AH249" s="23"/>
      <c r="AI249" s="23"/>
      <c r="AJ249" s="23"/>
      <c r="AK249" s="23"/>
      <c r="AL249" s="23"/>
    </row>
    <row r="250" spans="1:39" ht="17.25" customHeight="1" x14ac:dyDescent="0.2">
      <c r="A250" s="50">
        <v>46243</v>
      </c>
      <c r="B250" s="2"/>
      <c r="C250" s="33"/>
      <c r="D250" s="4" t="s">
        <v>37</v>
      </c>
      <c r="E250" s="23"/>
      <c r="F250" s="32"/>
      <c r="G250" s="28"/>
      <c r="H250" s="29"/>
      <c r="I250" s="26"/>
      <c r="J250" s="23"/>
      <c r="K250" s="23"/>
      <c r="L250" s="23"/>
      <c r="M250" s="23"/>
      <c r="N250" s="23"/>
      <c r="P250" s="23"/>
      <c r="Q250" s="28"/>
      <c r="R250" s="32"/>
      <c r="S250" s="58"/>
      <c r="T250" s="65"/>
      <c r="U250" s="26"/>
      <c r="V250" s="23"/>
      <c r="W250" s="23"/>
      <c r="X250" s="23"/>
      <c r="Y250" s="23"/>
      <c r="Z250" s="23"/>
      <c r="AB250" s="23"/>
      <c r="AC250" s="28"/>
      <c r="AD250" s="32"/>
      <c r="AE250" s="28"/>
      <c r="AF250" s="29"/>
      <c r="AG250" s="26"/>
      <c r="AH250" s="23"/>
      <c r="AI250" s="23"/>
      <c r="AJ250" s="23"/>
      <c r="AK250" s="23"/>
      <c r="AL250" s="23"/>
    </row>
    <row r="251" spans="1:39" ht="17.25" customHeight="1" x14ac:dyDescent="0.2">
      <c r="A251" s="48"/>
      <c r="B251" s="60"/>
      <c r="C251" s="77"/>
      <c r="D251" s="15"/>
      <c r="E251" s="14"/>
      <c r="F251" s="15"/>
      <c r="G251" s="16"/>
      <c r="H251" s="15"/>
      <c r="I251" s="17"/>
      <c r="J251" s="17"/>
      <c r="K251" s="17"/>
      <c r="L251" s="17"/>
      <c r="M251" s="17"/>
      <c r="N251" s="17"/>
      <c r="O251" s="15"/>
      <c r="P251" s="14"/>
      <c r="Q251" s="16"/>
      <c r="R251" s="15"/>
      <c r="S251" s="16"/>
      <c r="T251" s="15"/>
      <c r="U251" s="17"/>
      <c r="V251" s="17"/>
      <c r="W251" s="17"/>
      <c r="X251" s="17"/>
      <c r="Y251" s="17"/>
      <c r="Z251" s="17"/>
      <c r="AA251" s="15"/>
      <c r="AB251" s="14"/>
      <c r="AC251" s="16"/>
      <c r="AD251" s="15"/>
      <c r="AE251" s="16"/>
      <c r="AF251" s="15"/>
      <c r="AG251" s="17"/>
      <c r="AH251" s="17"/>
      <c r="AI251" s="17"/>
      <c r="AJ251" s="17"/>
      <c r="AK251" s="17"/>
      <c r="AL251" s="17"/>
      <c r="AM251" s="15"/>
    </row>
    <row r="252" spans="1:39" ht="17.25" customHeight="1" x14ac:dyDescent="0.2">
      <c r="A252" s="50">
        <v>46244</v>
      </c>
      <c r="B252" s="60"/>
      <c r="C252" s="33"/>
      <c r="D252" s="4" t="s">
        <v>19</v>
      </c>
      <c r="E252" s="23"/>
      <c r="F252" s="32"/>
      <c r="G252" s="28"/>
      <c r="H252" s="30"/>
      <c r="I252" s="26"/>
      <c r="J252" s="23"/>
      <c r="K252" s="23"/>
      <c r="L252" s="23"/>
      <c r="M252" s="23"/>
      <c r="N252" s="23"/>
      <c r="P252" s="23"/>
      <c r="Q252" s="28"/>
      <c r="R252" s="32"/>
      <c r="S252" s="28"/>
      <c r="T252" s="74"/>
      <c r="U252" s="26"/>
      <c r="V252" s="23"/>
      <c r="W252" s="23"/>
      <c r="X252" s="23"/>
      <c r="Y252" s="23"/>
      <c r="Z252" s="23"/>
      <c r="AB252" s="23"/>
      <c r="AC252" s="28"/>
      <c r="AD252" s="32"/>
      <c r="AE252" s="28"/>
      <c r="AF252" s="29"/>
      <c r="AG252" s="26"/>
      <c r="AH252" s="23"/>
      <c r="AI252" s="23"/>
      <c r="AJ252" s="23"/>
      <c r="AK252" s="23"/>
      <c r="AL252" s="23"/>
    </row>
    <row r="253" spans="1:39" ht="17.25" customHeight="1" x14ac:dyDescent="0.2">
      <c r="A253" s="50">
        <v>46245</v>
      </c>
      <c r="B253" s="60" t="s">
        <v>195</v>
      </c>
      <c r="C253" s="33"/>
      <c r="D253" s="4" t="s">
        <v>27</v>
      </c>
      <c r="E253" s="23"/>
      <c r="F253" s="32"/>
      <c r="G253" s="58"/>
      <c r="H253" s="29"/>
      <c r="I253" s="26"/>
      <c r="J253" s="23"/>
      <c r="K253" s="23"/>
      <c r="L253" s="23"/>
      <c r="M253" s="23"/>
      <c r="N253" s="23"/>
      <c r="P253" s="23"/>
      <c r="Q253" s="28"/>
      <c r="R253" s="32"/>
      <c r="S253" s="28"/>
      <c r="T253" s="88"/>
      <c r="U253" s="26"/>
      <c r="V253" s="23"/>
      <c r="W253" s="23"/>
      <c r="X253" s="23"/>
      <c r="Y253" s="23"/>
      <c r="Z253" s="23"/>
      <c r="AB253" s="23"/>
      <c r="AC253" s="28"/>
      <c r="AD253" s="32"/>
      <c r="AE253" s="28"/>
      <c r="AF253" s="29"/>
      <c r="AG253" s="26"/>
      <c r="AH253" s="23"/>
      <c r="AI253" s="23"/>
      <c r="AJ253" s="23"/>
      <c r="AK253" s="23"/>
      <c r="AL253" s="23"/>
    </row>
    <row r="254" spans="1:39" ht="17.25" customHeight="1" x14ac:dyDescent="0.2">
      <c r="A254" s="50">
        <v>46246</v>
      </c>
      <c r="B254" s="60"/>
      <c r="C254" s="33"/>
      <c r="D254" s="4" t="s">
        <v>31</v>
      </c>
      <c r="E254" s="23"/>
      <c r="F254" s="32"/>
      <c r="G254" s="28"/>
      <c r="H254" s="30"/>
      <c r="I254" s="26"/>
      <c r="J254" s="23"/>
      <c r="K254" s="23"/>
      <c r="L254" s="23"/>
      <c r="M254" s="23"/>
      <c r="N254" s="23"/>
      <c r="P254" s="23"/>
      <c r="Q254" s="28"/>
      <c r="R254" s="32"/>
      <c r="S254" s="28"/>
      <c r="T254" s="74"/>
      <c r="U254" s="26"/>
      <c r="V254" s="23"/>
      <c r="W254" s="23"/>
      <c r="X254" s="23"/>
      <c r="Y254" s="23"/>
      <c r="Z254" s="23"/>
      <c r="AB254" s="23"/>
      <c r="AC254" s="28"/>
      <c r="AD254" s="32"/>
      <c r="AE254" s="58"/>
      <c r="AF254" s="59"/>
      <c r="AG254" s="26"/>
      <c r="AH254" s="23"/>
      <c r="AI254" s="23"/>
      <c r="AJ254" s="23"/>
      <c r="AK254" s="23"/>
      <c r="AL254" s="23"/>
    </row>
    <row r="255" spans="1:39" ht="17.25" customHeight="1" x14ac:dyDescent="0.2">
      <c r="A255" s="50">
        <v>46247</v>
      </c>
      <c r="B255" s="60"/>
      <c r="C255" s="22">
        <f>C247+1</f>
        <v>33</v>
      </c>
      <c r="D255" s="4" t="s">
        <v>33</v>
      </c>
      <c r="E255" s="23"/>
      <c r="F255" s="32"/>
      <c r="G255" s="28"/>
      <c r="H255" s="30"/>
      <c r="I255" s="26"/>
      <c r="J255" s="23"/>
      <c r="K255" s="23"/>
      <c r="L255" s="23"/>
      <c r="M255" s="23"/>
      <c r="N255" s="23"/>
      <c r="P255" s="23"/>
      <c r="Q255" s="28"/>
      <c r="R255" s="32"/>
      <c r="S255" s="28"/>
      <c r="T255" s="74"/>
      <c r="U255" s="26"/>
      <c r="V255" s="23"/>
      <c r="W255" s="23"/>
      <c r="X255" s="23"/>
      <c r="Y255" s="23"/>
      <c r="Z255" s="23"/>
      <c r="AB255" s="23"/>
      <c r="AC255" s="28"/>
      <c r="AD255" s="32"/>
      <c r="AE255" s="28"/>
      <c r="AF255" s="29"/>
      <c r="AG255" s="26"/>
      <c r="AH255" s="23"/>
      <c r="AI255" s="23"/>
      <c r="AJ255" s="23"/>
      <c r="AK255" s="23"/>
      <c r="AL255" s="23"/>
    </row>
    <row r="256" spans="1:39" ht="17.25" customHeight="1" x14ac:dyDescent="0.2">
      <c r="A256" s="50">
        <v>46248</v>
      </c>
      <c r="B256" s="60"/>
      <c r="C256" s="33"/>
      <c r="D256" s="4" t="s">
        <v>35</v>
      </c>
      <c r="E256" s="23"/>
      <c r="F256" s="32"/>
      <c r="G256" s="28"/>
      <c r="H256" s="30"/>
      <c r="I256" s="26"/>
      <c r="J256" s="23"/>
      <c r="K256" s="23"/>
      <c r="L256" s="23"/>
      <c r="M256" s="23"/>
      <c r="N256" s="23"/>
      <c r="P256" s="23"/>
      <c r="Q256" s="28"/>
      <c r="R256" s="32"/>
      <c r="S256" s="28"/>
      <c r="T256" s="65"/>
      <c r="U256" s="26"/>
      <c r="V256" s="23"/>
      <c r="W256" s="23"/>
      <c r="X256" s="23"/>
      <c r="Y256" s="23"/>
      <c r="Z256" s="23"/>
      <c r="AB256" s="23"/>
      <c r="AC256" s="28"/>
      <c r="AD256" s="32"/>
      <c r="AE256" s="28"/>
      <c r="AF256" s="29"/>
      <c r="AG256" s="26"/>
      <c r="AH256" s="23"/>
      <c r="AI256" s="23"/>
      <c r="AJ256" s="23"/>
      <c r="AK256" s="23"/>
      <c r="AL256" s="23"/>
    </row>
    <row r="257" spans="1:39" ht="17.25" customHeight="1" x14ac:dyDescent="0.2">
      <c r="A257" s="50">
        <v>46249</v>
      </c>
      <c r="B257" s="60"/>
      <c r="C257" s="33"/>
      <c r="D257" s="4" t="s">
        <v>36</v>
      </c>
      <c r="E257" s="23"/>
      <c r="F257" s="32"/>
      <c r="G257" s="28"/>
      <c r="H257" s="29"/>
      <c r="I257" s="26"/>
      <c r="J257" s="23"/>
      <c r="K257" s="23"/>
      <c r="L257" s="23"/>
      <c r="M257" s="23"/>
      <c r="N257" s="23"/>
      <c r="P257" s="23"/>
      <c r="Q257" s="28"/>
      <c r="R257" s="32"/>
      <c r="S257" s="28"/>
      <c r="T257" s="74"/>
      <c r="U257" s="26"/>
      <c r="V257" s="23"/>
      <c r="W257" s="23"/>
      <c r="X257" s="23"/>
      <c r="Y257" s="23"/>
      <c r="Z257" s="23"/>
      <c r="AB257" s="23"/>
      <c r="AC257" s="28"/>
      <c r="AD257" s="32"/>
      <c r="AE257" s="28"/>
      <c r="AF257" s="29"/>
      <c r="AG257" s="26"/>
      <c r="AH257" s="23"/>
      <c r="AI257" s="23"/>
      <c r="AJ257" s="23"/>
      <c r="AK257" s="23"/>
      <c r="AL257" s="23"/>
    </row>
    <row r="258" spans="1:39" ht="17.25" customHeight="1" x14ac:dyDescent="0.2">
      <c r="A258" s="50">
        <v>46250</v>
      </c>
      <c r="B258" s="60"/>
      <c r="C258" s="33"/>
      <c r="D258" s="4" t="s">
        <v>37</v>
      </c>
      <c r="E258" s="23"/>
      <c r="F258" s="32"/>
      <c r="G258" s="28"/>
      <c r="H258" s="29"/>
      <c r="I258" s="26"/>
      <c r="J258" s="23"/>
      <c r="K258" s="23"/>
      <c r="L258" s="23"/>
      <c r="M258" s="23"/>
      <c r="N258" s="23"/>
      <c r="P258" s="23"/>
      <c r="Q258" s="28"/>
      <c r="R258" s="32"/>
      <c r="S258" s="28"/>
      <c r="T258" s="65"/>
      <c r="U258" s="26"/>
      <c r="V258" s="23"/>
      <c r="W258" s="23"/>
      <c r="X258" s="23"/>
      <c r="Y258" s="23"/>
      <c r="Z258" s="23"/>
      <c r="AB258" s="23"/>
      <c r="AC258" s="28"/>
      <c r="AD258" s="32"/>
      <c r="AE258" s="28"/>
      <c r="AF258" s="29"/>
      <c r="AG258" s="26"/>
      <c r="AH258" s="23"/>
      <c r="AI258" s="23"/>
      <c r="AJ258" s="23"/>
      <c r="AK258" s="23"/>
      <c r="AL258" s="23"/>
    </row>
    <row r="259" spans="1:39" ht="17.25" customHeight="1" x14ac:dyDescent="0.2">
      <c r="A259" s="48"/>
      <c r="B259" s="60"/>
      <c r="C259" s="77"/>
      <c r="D259" s="15"/>
      <c r="E259" s="14"/>
      <c r="F259" s="15"/>
      <c r="G259" s="16"/>
      <c r="H259" s="15"/>
      <c r="I259" s="17"/>
      <c r="J259" s="17"/>
      <c r="K259" s="17"/>
      <c r="L259" s="17"/>
      <c r="M259" s="17"/>
      <c r="N259" s="17"/>
      <c r="O259" s="15"/>
      <c r="P259" s="14"/>
      <c r="Q259" s="16"/>
      <c r="R259" s="15"/>
      <c r="S259" s="16"/>
      <c r="T259" s="15"/>
      <c r="U259" s="17"/>
      <c r="V259" s="17"/>
      <c r="W259" s="17"/>
      <c r="X259" s="17"/>
      <c r="Y259" s="17"/>
      <c r="Z259" s="17"/>
      <c r="AA259" s="15"/>
      <c r="AB259" s="14"/>
      <c r="AC259" s="16"/>
      <c r="AD259" s="15"/>
      <c r="AE259" s="16"/>
      <c r="AF259" s="15"/>
      <c r="AG259" s="17"/>
      <c r="AH259" s="17"/>
      <c r="AI259" s="17"/>
      <c r="AJ259" s="17"/>
      <c r="AK259" s="17"/>
      <c r="AL259" s="17"/>
      <c r="AM259" s="15"/>
    </row>
    <row r="260" spans="1:39" ht="17.25" customHeight="1" x14ac:dyDescent="0.2">
      <c r="A260" s="50">
        <v>46251</v>
      </c>
      <c r="B260" s="60"/>
      <c r="C260" s="33"/>
      <c r="D260" s="4" t="s">
        <v>19</v>
      </c>
      <c r="E260" s="23"/>
      <c r="F260" s="32"/>
      <c r="G260" s="28"/>
      <c r="H260" s="30"/>
      <c r="I260" s="26"/>
      <c r="J260" s="23"/>
      <c r="K260" s="23"/>
      <c r="L260" s="23"/>
      <c r="M260" s="23"/>
      <c r="N260" s="23"/>
      <c r="P260" s="23"/>
      <c r="Q260" s="28"/>
      <c r="R260" s="32"/>
      <c r="S260" s="28"/>
      <c r="T260" s="74"/>
      <c r="U260" s="26"/>
      <c r="V260" s="23"/>
      <c r="W260" s="23"/>
      <c r="X260" s="23"/>
      <c r="Y260" s="23"/>
      <c r="Z260" s="23"/>
      <c r="AB260" s="23"/>
      <c r="AC260" s="28"/>
      <c r="AD260" s="32"/>
      <c r="AE260" s="28"/>
      <c r="AF260" s="68"/>
      <c r="AG260" s="26"/>
      <c r="AH260" s="23"/>
      <c r="AI260" s="23"/>
      <c r="AJ260" s="23"/>
      <c r="AK260" s="23"/>
      <c r="AL260" s="23"/>
    </row>
    <row r="261" spans="1:39" ht="17.25" customHeight="1" x14ac:dyDescent="0.2">
      <c r="A261" s="50">
        <v>46252</v>
      </c>
      <c r="C261" s="33"/>
      <c r="D261" s="4" t="s">
        <v>27</v>
      </c>
      <c r="E261" s="23"/>
      <c r="F261" s="32"/>
      <c r="G261" s="28"/>
      <c r="H261" s="30"/>
      <c r="I261" s="26"/>
      <c r="J261" s="23"/>
      <c r="K261" s="23"/>
      <c r="L261" s="23"/>
      <c r="M261" s="23"/>
      <c r="N261" s="23"/>
      <c r="P261" s="23"/>
      <c r="Q261" s="28"/>
      <c r="R261" s="32"/>
      <c r="S261" s="58"/>
      <c r="T261" s="88"/>
      <c r="U261" s="26"/>
      <c r="V261" s="23"/>
      <c r="W261" s="23"/>
      <c r="X261" s="23"/>
      <c r="Y261" s="23"/>
      <c r="Z261" s="23"/>
      <c r="AB261" s="23"/>
      <c r="AC261" s="28"/>
      <c r="AD261" s="32"/>
      <c r="AE261" s="28"/>
      <c r="AF261" s="29"/>
      <c r="AG261" s="26"/>
      <c r="AH261" s="23"/>
      <c r="AI261" s="23"/>
      <c r="AJ261" s="23"/>
      <c r="AK261" s="23"/>
      <c r="AL261" s="23"/>
    </row>
    <row r="262" spans="1:39" ht="17.25" customHeight="1" x14ac:dyDescent="0.2">
      <c r="A262" s="50">
        <v>46253</v>
      </c>
      <c r="B262" s="60"/>
      <c r="C262" s="33"/>
      <c r="D262" s="4" t="s">
        <v>31</v>
      </c>
      <c r="E262" s="23"/>
      <c r="F262" s="32"/>
      <c r="G262" s="28"/>
      <c r="H262" s="30"/>
      <c r="I262" s="26"/>
      <c r="J262" s="23"/>
      <c r="K262" s="23"/>
      <c r="L262" s="23"/>
      <c r="M262" s="23"/>
      <c r="N262" s="23"/>
      <c r="P262" s="23"/>
      <c r="Q262" s="28"/>
      <c r="R262" s="32"/>
      <c r="S262" s="28"/>
      <c r="T262" s="74"/>
      <c r="U262" s="26"/>
      <c r="V262" s="23"/>
      <c r="W262" s="23"/>
      <c r="X262" s="23"/>
      <c r="Y262" s="23"/>
      <c r="Z262" s="23"/>
      <c r="AB262" s="23"/>
      <c r="AC262" s="28"/>
      <c r="AD262" s="32"/>
      <c r="AE262" s="58"/>
      <c r="AF262" s="59"/>
      <c r="AG262" s="26"/>
      <c r="AH262" s="23"/>
      <c r="AI262" s="23"/>
      <c r="AJ262" s="23"/>
      <c r="AK262" s="23"/>
      <c r="AL262" s="23"/>
    </row>
    <row r="263" spans="1:39" ht="17.25" customHeight="1" x14ac:dyDescent="0.2">
      <c r="A263" s="50">
        <v>46254</v>
      </c>
      <c r="B263" s="60"/>
      <c r="C263" s="22">
        <f>C255+1</f>
        <v>34</v>
      </c>
      <c r="D263" s="4" t="s">
        <v>33</v>
      </c>
      <c r="E263" s="23"/>
      <c r="F263" s="32"/>
      <c r="G263" s="28"/>
      <c r="H263" s="30"/>
      <c r="I263" s="26"/>
      <c r="J263" s="23"/>
      <c r="K263" s="23"/>
      <c r="L263" s="23"/>
      <c r="M263" s="23"/>
      <c r="N263" s="23"/>
      <c r="P263" s="23"/>
      <c r="Q263" s="28"/>
      <c r="R263" s="32"/>
      <c r="S263" s="28"/>
      <c r="T263" s="74"/>
      <c r="U263" s="26"/>
      <c r="V263" s="23"/>
      <c r="W263" s="23"/>
      <c r="X263" s="23"/>
      <c r="Y263" s="23"/>
      <c r="Z263" s="23"/>
      <c r="AB263" s="23"/>
      <c r="AC263" s="28"/>
      <c r="AD263" s="32"/>
      <c r="AE263" s="28"/>
      <c r="AF263" s="30"/>
      <c r="AG263" s="26"/>
      <c r="AH263" s="23"/>
      <c r="AI263" s="23"/>
      <c r="AJ263" s="23"/>
      <c r="AK263" s="23"/>
      <c r="AL263" s="23"/>
    </row>
    <row r="264" spans="1:39" ht="17.25" customHeight="1" x14ac:dyDescent="0.2">
      <c r="A264" s="50">
        <v>46255</v>
      </c>
      <c r="B264" s="60"/>
      <c r="C264" s="33"/>
      <c r="D264" s="4" t="s">
        <v>35</v>
      </c>
      <c r="E264" s="23"/>
      <c r="F264" s="32"/>
      <c r="G264" s="28"/>
      <c r="H264" s="30"/>
      <c r="I264" s="26"/>
      <c r="J264" s="23"/>
      <c r="K264" s="23"/>
      <c r="L264" s="23"/>
      <c r="M264" s="23"/>
      <c r="N264" s="23"/>
      <c r="P264" s="23"/>
      <c r="Q264" s="29"/>
      <c r="R264" s="32"/>
      <c r="S264" s="30"/>
      <c r="T264" s="65"/>
      <c r="U264" s="26"/>
      <c r="V264" s="23"/>
      <c r="W264" s="23"/>
      <c r="X264" s="23"/>
      <c r="Y264" s="23"/>
      <c r="Z264" s="23"/>
      <c r="AB264" s="23"/>
      <c r="AC264" s="28"/>
      <c r="AD264" s="32"/>
      <c r="AE264" s="28"/>
      <c r="AF264" s="29"/>
      <c r="AG264" s="26"/>
      <c r="AH264" s="23"/>
      <c r="AI264" s="23"/>
      <c r="AJ264" s="23"/>
      <c r="AK264" s="23"/>
      <c r="AL264" s="23"/>
    </row>
    <row r="265" spans="1:39" ht="17.25" customHeight="1" x14ac:dyDescent="0.2">
      <c r="A265" s="50">
        <v>46256</v>
      </c>
      <c r="B265" s="60"/>
      <c r="C265" s="33"/>
      <c r="D265" s="4" t="s">
        <v>36</v>
      </c>
      <c r="E265" s="23"/>
      <c r="F265" s="32"/>
      <c r="G265" s="58"/>
      <c r="H265" s="29"/>
      <c r="I265" s="26"/>
      <c r="J265" s="23"/>
      <c r="K265" s="23"/>
      <c r="L265" s="23"/>
      <c r="M265" s="23"/>
      <c r="N265" s="23"/>
      <c r="O265" s="16"/>
      <c r="P265" s="23"/>
      <c r="Q265" s="28"/>
      <c r="R265" s="32"/>
      <c r="S265" s="28"/>
      <c r="T265" s="74"/>
      <c r="U265" s="26"/>
      <c r="V265" s="23"/>
      <c r="W265" s="23"/>
      <c r="X265" s="23"/>
      <c r="Y265" s="23"/>
      <c r="Z265" s="23"/>
      <c r="AB265" s="23"/>
      <c r="AC265" s="28"/>
      <c r="AD265" s="32"/>
      <c r="AE265" s="28"/>
      <c r="AF265" s="29"/>
      <c r="AG265" s="26"/>
      <c r="AH265" s="23"/>
      <c r="AI265" s="23"/>
      <c r="AJ265" s="23"/>
      <c r="AK265" s="23"/>
      <c r="AL265" s="23"/>
    </row>
    <row r="266" spans="1:39" ht="17.25" customHeight="1" x14ac:dyDescent="0.2">
      <c r="A266" s="50">
        <v>46257</v>
      </c>
      <c r="B266" s="60"/>
      <c r="C266" s="33"/>
      <c r="D266" s="4" t="s">
        <v>37</v>
      </c>
      <c r="E266" s="23"/>
      <c r="F266" s="32"/>
      <c r="G266" s="28"/>
      <c r="H266" s="29"/>
      <c r="I266" s="26"/>
      <c r="J266" s="23"/>
      <c r="K266" s="23"/>
      <c r="L266" s="23"/>
      <c r="M266" s="23"/>
      <c r="N266" s="23"/>
      <c r="O266" s="16"/>
      <c r="P266" s="23"/>
      <c r="Q266" s="28"/>
      <c r="R266" s="32"/>
      <c r="S266" s="28"/>
      <c r="T266" s="65"/>
      <c r="U266" s="26"/>
      <c r="V266" s="23"/>
      <c r="W266" s="23"/>
      <c r="X266" s="23"/>
      <c r="Y266" s="23"/>
      <c r="Z266" s="23"/>
      <c r="AB266" s="23"/>
      <c r="AC266" s="28"/>
      <c r="AD266" s="32"/>
      <c r="AE266" s="28"/>
      <c r="AF266" s="29"/>
      <c r="AG266" s="26"/>
      <c r="AH266" s="23"/>
      <c r="AI266" s="23"/>
      <c r="AJ266" s="23"/>
      <c r="AK266" s="23"/>
      <c r="AL266" s="23"/>
    </row>
    <row r="267" spans="1:39" ht="17.25" customHeight="1" x14ac:dyDescent="0.2">
      <c r="A267" s="48"/>
      <c r="B267" s="60"/>
      <c r="C267" s="77"/>
      <c r="D267" s="15"/>
      <c r="E267" s="14"/>
      <c r="F267" s="15"/>
      <c r="G267" s="16"/>
      <c r="H267" s="15"/>
      <c r="I267" s="17"/>
      <c r="J267" s="17"/>
      <c r="K267" s="17"/>
      <c r="L267" s="17"/>
      <c r="M267" s="17"/>
      <c r="N267" s="17"/>
      <c r="O267" s="15"/>
      <c r="P267" s="14"/>
      <c r="Q267" s="16"/>
      <c r="R267" s="15"/>
      <c r="S267" s="16"/>
      <c r="T267" s="15"/>
      <c r="U267" s="17"/>
      <c r="V267" s="17"/>
      <c r="W267" s="17"/>
      <c r="X267" s="17"/>
      <c r="Y267" s="17"/>
      <c r="Z267" s="17"/>
      <c r="AA267" s="15"/>
      <c r="AB267" s="14"/>
      <c r="AC267" s="16"/>
      <c r="AD267" s="15"/>
      <c r="AE267" s="16"/>
      <c r="AF267" s="15"/>
      <c r="AG267" s="17"/>
      <c r="AH267" s="17"/>
      <c r="AI267" s="17"/>
      <c r="AJ267" s="17"/>
      <c r="AK267" s="17"/>
      <c r="AL267" s="17"/>
      <c r="AM267" s="15"/>
    </row>
    <row r="268" spans="1:39" ht="17.25" customHeight="1" x14ac:dyDescent="0.2">
      <c r="A268" s="50">
        <v>46258</v>
      </c>
      <c r="B268" s="2"/>
      <c r="C268" s="33"/>
      <c r="D268" s="4" t="s">
        <v>19</v>
      </c>
      <c r="E268" s="23"/>
      <c r="F268" s="32"/>
      <c r="G268" s="28"/>
      <c r="H268" s="30"/>
      <c r="I268" s="26"/>
      <c r="J268" s="23"/>
      <c r="K268" s="23"/>
      <c r="L268" s="23"/>
      <c r="M268" s="23"/>
      <c r="N268" s="23"/>
      <c r="O268" s="16"/>
      <c r="P268" s="23"/>
      <c r="Q268" s="28"/>
      <c r="R268" s="32"/>
      <c r="S268" s="28"/>
      <c r="T268" s="74"/>
      <c r="U268" s="26"/>
      <c r="V268" s="23"/>
      <c r="W268" s="23"/>
      <c r="X268" s="23"/>
      <c r="Y268" s="23"/>
      <c r="Z268" s="23"/>
      <c r="AB268" s="23"/>
      <c r="AC268" s="28"/>
      <c r="AD268" s="32"/>
      <c r="AE268" s="28"/>
      <c r="AF268" s="68"/>
      <c r="AG268" s="26"/>
      <c r="AH268" s="23"/>
      <c r="AI268" s="23"/>
      <c r="AJ268" s="23"/>
      <c r="AK268" s="23"/>
      <c r="AL268" s="23"/>
    </row>
    <row r="269" spans="1:39" ht="17.25" customHeight="1" x14ac:dyDescent="0.2">
      <c r="A269" s="50">
        <v>46259</v>
      </c>
      <c r="B269" s="60"/>
      <c r="C269" s="33"/>
      <c r="D269" s="4" t="s">
        <v>27</v>
      </c>
      <c r="E269" s="23"/>
      <c r="F269" s="32"/>
      <c r="G269" s="28"/>
      <c r="H269" s="29"/>
      <c r="I269" s="26"/>
      <c r="J269" s="23"/>
      <c r="K269" s="23"/>
      <c r="L269" s="23"/>
      <c r="M269" s="23"/>
      <c r="N269" s="23"/>
      <c r="O269" s="16"/>
      <c r="P269" s="23"/>
      <c r="Q269" s="28"/>
      <c r="R269" s="32"/>
      <c r="S269" s="28"/>
      <c r="T269" s="88"/>
      <c r="U269" s="26"/>
      <c r="V269" s="23"/>
      <c r="W269" s="23"/>
      <c r="X269" s="23"/>
      <c r="Y269" s="23"/>
      <c r="Z269" s="23"/>
      <c r="AB269" s="23"/>
      <c r="AC269" s="28"/>
      <c r="AD269" s="32"/>
      <c r="AE269" s="28"/>
      <c r="AF269" s="30"/>
      <c r="AG269" s="26"/>
      <c r="AH269" s="23"/>
      <c r="AI269" s="23"/>
      <c r="AJ269" s="23"/>
      <c r="AK269" s="23"/>
      <c r="AL269" s="23"/>
    </row>
    <row r="270" spans="1:39" ht="17.25" customHeight="1" x14ac:dyDescent="0.2">
      <c r="A270" s="50">
        <v>46260</v>
      </c>
      <c r="B270" s="60"/>
      <c r="C270" s="33"/>
      <c r="D270" s="4" t="s">
        <v>31</v>
      </c>
      <c r="E270" s="23"/>
      <c r="F270" s="32"/>
      <c r="G270" s="28"/>
      <c r="H270" s="30"/>
      <c r="I270" s="26"/>
      <c r="J270" s="23"/>
      <c r="K270" s="23"/>
      <c r="L270" s="23"/>
      <c r="M270" s="23"/>
      <c r="N270" s="23"/>
      <c r="O270" s="16"/>
      <c r="P270" s="23"/>
      <c r="Q270" s="28"/>
      <c r="R270" s="32"/>
      <c r="S270" s="58"/>
      <c r="T270" s="74"/>
      <c r="U270" s="26"/>
      <c r="V270" s="23"/>
      <c r="W270" s="23"/>
      <c r="X270" s="23"/>
      <c r="Y270" s="23"/>
      <c r="Z270" s="23"/>
      <c r="AB270" s="23"/>
      <c r="AC270" s="28"/>
      <c r="AD270" s="32"/>
      <c r="AE270" s="58"/>
      <c r="AF270" s="59"/>
      <c r="AG270" s="26"/>
      <c r="AH270" s="23"/>
      <c r="AI270" s="23"/>
      <c r="AJ270" s="23"/>
      <c r="AK270" s="23"/>
      <c r="AL270" s="23"/>
    </row>
    <row r="271" spans="1:39" ht="17.25" customHeight="1" x14ac:dyDescent="0.2">
      <c r="A271" s="50">
        <v>46261</v>
      </c>
      <c r="B271" s="60"/>
      <c r="C271" s="22">
        <f>C263+1</f>
        <v>35</v>
      </c>
      <c r="D271" s="4" t="s">
        <v>33</v>
      </c>
      <c r="E271" s="23"/>
      <c r="F271" s="32"/>
      <c r="G271" s="28"/>
      <c r="H271" s="30"/>
      <c r="I271" s="26"/>
      <c r="J271" s="23"/>
      <c r="K271" s="23"/>
      <c r="L271" s="23"/>
      <c r="M271" s="23"/>
      <c r="N271" s="23"/>
      <c r="O271" s="16"/>
      <c r="P271" s="23"/>
      <c r="Q271" s="28"/>
      <c r="R271" s="32"/>
      <c r="S271" s="28"/>
      <c r="T271" s="74"/>
      <c r="U271" s="26"/>
      <c r="V271" s="23"/>
      <c r="W271" s="23"/>
      <c r="X271" s="23"/>
      <c r="Y271" s="23"/>
      <c r="Z271" s="23"/>
      <c r="AB271" s="23"/>
      <c r="AC271" s="28"/>
      <c r="AD271" s="32"/>
      <c r="AE271" s="28"/>
      <c r="AF271" s="29"/>
      <c r="AG271" s="26"/>
      <c r="AH271" s="23"/>
      <c r="AI271" s="23"/>
      <c r="AJ271" s="23"/>
      <c r="AK271" s="23"/>
      <c r="AL271" s="23"/>
    </row>
    <row r="272" spans="1:39" ht="17.25" customHeight="1" x14ac:dyDescent="0.2">
      <c r="A272" s="50">
        <v>46262</v>
      </c>
      <c r="B272" s="60"/>
      <c r="C272" s="33"/>
      <c r="D272" s="4" t="s">
        <v>35</v>
      </c>
      <c r="E272" s="23"/>
      <c r="F272" s="32"/>
      <c r="G272" s="28"/>
      <c r="H272" s="96"/>
      <c r="I272" s="26"/>
      <c r="J272" s="23"/>
      <c r="K272" s="23"/>
      <c r="L272" s="23"/>
      <c r="M272" s="23"/>
      <c r="N272" s="23"/>
      <c r="O272" s="16"/>
      <c r="P272" s="23"/>
      <c r="Q272" s="28"/>
      <c r="R272" s="32"/>
      <c r="S272" s="28"/>
      <c r="T272" s="65"/>
      <c r="U272" s="26"/>
      <c r="V272" s="23"/>
      <c r="W272" s="23"/>
      <c r="X272" s="23"/>
      <c r="Y272" s="23"/>
      <c r="Z272" s="23"/>
      <c r="AB272" s="23"/>
      <c r="AC272" s="28"/>
      <c r="AD272" s="32"/>
      <c r="AE272" s="28"/>
      <c r="AF272" s="29"/>
      <c r="AG272" s="26"/>
      <c r="AH272" s="23"/>
      <c r="AI272" s="23"/>
      <c r="AJ272" s="23"/>
      <c r="AK272" s="23"/>
      <c r="AL272" s="23"/>
    </row>
    <row r="273" spans="1:39" ht="17.25" customHeight="1" x14ac:dyDescent="0.2">
      <c r="A273" s="50">
        <v>46263</v>
      </c>
      <c r="B273" s="60"/>
      <c r="C273" s="33"/>
      <c r="D273" s="4" t="s">
        <v>36</v>
      </c>
      <c r="E273" s="23"/>
      <c r="F273" s="32"/>
      <c r="G273" s="28"/>
      <c r="H273" s="29"/>
      <c r="I273" s="26"/>
      <c r="J273" s="23"/>
      <c r="K273" s="23"/>
      <c r="L273" s="23"/>
      <c r="M273" s="23"/>
      <c r="N273" s="23"/>
      <c r="O273" s="16"/>
      <c r="P273" s="23"/>
      <c r="Q273" s="28"/>
      <c r="R273" s="32"/>
      <c r="S273" s="28"/>
      <c r="T273" s="74"/>
      <c r="U273" s="26"/>
      <c r="V273" s="23"/>
      <c r="W273" s="23"/>
      <c r="X273" s="23"/>
      <c r="Y273" s="23"/>
      <c r="Z273" s="23"/>
      <c r="AB273" s="23"/>
      <c r="AC273" s="28"/>
      <c r="AD273" s="32"/>
      <c r="AE273" s="28"/>
      <c r="AF273" s="29"/>
      <c r="AG273" s="26"/>
      <c r="AH273" s="23"/>
      <c r="AI273" s="23"/>
      <c r="AJ273" s="23"/>
      <c r="AK273" s="23"/>
      <c r="AL273" s="23"/>
    </row>
    <row r="274" spans="1:39" ht="17.25" customHeight="1" x14ac:dyDescent="0.2">
      <c r="A274" s="50">
        <v>46264</v>
      </c>
      <c r="B274" s="60"/>
      <c r="C274" s="33"/>
      <c r="D274" s="4" t="s">
        <v>37</v>
      </c>
      <c r="E274" s="23"/>
      <c r="F274" s="32"/>
      <c r="G274" s="28"/>
      <c r="H274" s="29"/>
      <c r="I274" s="26"/>
      <c r="J274" s="23"/>
      <c r="K274" s="23"/>
      <c r="L274" s="23"/>
      <c r="M274" s="23"/>
      <c r="N274" s="23"/>
      <c r="O274" s="16"/>
      <c r="P274" s="23"/>
      <c r="Q274" s="28"/>
      <c r="R274" s="32"/>
      <c r="S274" s="28"/>
      <c r="T274" s="65"/>
      <c r="U274" s="26"/>
      <c r="V274" s="23"/>
      <c r="W274" s="23"/>
      <c r="X274" s="23"/>
      <c r="Y274" s="23"/>
      <c r="Z274" s="23"/>
      <c r="AB274" s="23"/>
      <c r="AC274" s="28"/>
      <c r="AD274" s="32"/>
      <c r="AE274" s="28"/>
      <c r="AF274" s="29"/>
      <c r="AG274" s="26"/>
      <c r="AH274" s="23"/>
      <c r="AI274" s="23"/>
      <c r="AJ274" s="23"/>
      <c r="AK274" s="23"/>
      <c r="AL274" s="23"/>
    </row>
    <row r="275" spans="1:39" ht="17.25" customHeight="1" x14ac:dyDescent="0.2">
      <c r="A275" s="48"/>
      <c r="B275" s="60"/>
      <c r="C275" s="77"/>
      <c r="D275" s="15"/>
      <c r="E275" s="14"/>
      <c r="F275" s="15"/>
      <c r="G275" s="16"/>
      <c r="H275" s="15"/>
      <c r="I275" s="17"/>
      <c r="J275" s="17"/>
      <c r="K275" s="17"/>
      <c r="L275" s="17"/>
      <c r="M275" s="17"/>
      <c r="N275" s="17"/>
      <c r="O275" s="15"/>
      <c r="P275" s="14"/>
      <c r="Q275" s="16"/>
      <c r="R275" s="15"/>
      <c r="S275" s="16"/>
      <c r="T275" s="15"/>
      <c r="U275" s="17"/>
      <c r="V275" s="17"/>
      <c r="W275" s="17"/>
      <c r="X275" s="17"/>
      <c r="Y275" s="17"/>
      <c r="Z275" s="17"/>
      <c r="AA275" s="15"/>
      <c r="AB275" s="14"/>
      <c r="AC275" s="16"/>
      <c r="AD275" s="15"/>
      <c r="AE275" s="16"/>
      <c r="AF275" s="15"/>
      <c r="AG275" s="17"/>
      <c r="AH275" s="17"/>
      <c r="AI275" s="17"/>
      <c r="AJ275" s="17"/>
      <c r="AK275" s="17"/>
      <c r="AL275" s="17"/>
      <c r="AM275" s="15"/>
    </row>
    <row r="276" spans="1:39" ht="17.25" customHeight="1" x14ac:dyDescent="0.2">
      <c r="A276" s="50">
        <v>46265</v>
      </c>
      <c r="B276" s="60"/>
      <c r="C276" s="33"/>
      <c r="D276" s="4" t="s">
        <v>19</v>
      </c>
      <c r="E276" s="23"/>
      <c r="F276" s="32"/>
      <c r="G276" s="28"/>
      <c r="H276" s="30"/>
      <c r="I276" s="26"/>
      <c r="J276" s="23"/>
      <c r="K276" s="23"/>
      <c r="L276" s="23"/>
      <c r="M276" s="23"/>
      <c r="N276" s="23"/>
      <c r="O276" s="16"/>
      <c r="P276" s="23"/>
      <c r="Q276" s="28"/>
      <c r="R276" s="32"/>
      <c r="S276" s="28"/>
      <c r="T276" s="74"/>
      <c r="U276" s="26"/>
      <c r="V276" s="23"/>
      <c r="W276" s="23"/>
      <c r="X276" s="23"/>
      <c r="Y276" s="23"/>
      <c r="Z276" s="23"/>
      <c r="AB276" s="23"/>
      <c r="AC276" s="28"/>
      <c r="AD276" s="32"/>
      <c r="AE276" s="28"/>
      <c r="AF276" s="29"/>
      <c r="AG276" s="26"/>
      <c r="AH276" s="23"/>
      <c r="AI276" s="23"/>
      <c r="AJ276" s="23"/>
      <c r="AK276" s="23"/>
      <c r="AL276" s="23"/>
    </row>
    <row r="277" spans="1:39" ht="17.25" customHeight="1" x14ac:dyDescent="0.2">
      <c r="A277" s="50">
        <v>46266</v>
      </c>
      <c r="B277" s="41" t="s">
        <v>196</v>
      </c>
      <c r="C277" s="33"/>
      <c r="D277" s="4" t="s">
        <v>27</v>
      </c>
      <c r="E277" s="23"/>
      <c r="F277" s="32"/>
      <c r="G277" s="28"/>
      <c r="H277" s="29"/>
      <c r="I277" s="26"/>
      <c r="J277" s="23"/>
      <c r="K277" s="23"/>
      <c r="L277" s="23"/>
      <c r="M277" s="23"/>
      <c r="N277" s="23"/>
      <c r="O277" s="16"/>
      <c r="P277" s="23"/>
      <c r="Q277" s="28"/>
      <c r="R277" s="32"/>
      <c r="S277" s="28"/>
      <c r="T277" s="88"/>
      <c r="U277" s="26"/>
      <c r="V277" s="23"/>
      <c r="W277" s="23"/>
      <c r="X277" s="23"/>
      <c r="Y277" s="23"/>
      <c r="Z277" s="23"/>
      <c r="AB277" s="23"/>
      <c r="AC277" s="28"/>
      <c r="AD277" s="32"/>
      <c r="AE277" s="28"/>
      <c r="AF277" s="29"/>
      <c r="AG277" s="26"/>
      <c r="AH277" s="23"/>
      <c r="AI277" s="23"/>
      <c r="AJ277" s="23"/>
      <c r="AK277" s="23"/>
      <c r="AL277" s="23"/>
    </row>
    <row r="278" spans="1:39" ht="17.25" customHeight="1" x14ac:dyDescent="0.2">
      <c r="A278" s="50">
        <v>46267</v>
      </c>
      <c r="B278" s="60"/>
      <c r="C278" s="33"/>
      <c r="D278" s="4" t="s">
        <v>31</v>
      </c>
      <c r="E278" s="23"/>
      <c r="F278" s="32"/>
      <c r="G278" s="28"/>
      <c r="H278" s="30"/>
      <c r="I278" s="26"/>
      <c r="J278" s="23"/>
      <c r="K278" s="23"/>
      <c r="L278" s="23"/>
      <c r="M278" s="23"/>
      <c r="N278" s="23"/>
      <c r="O278" s="16"/>
      <c r="P278" s="23"/>
      <c r="Q278" s="28"/>
      <c r="R278" s="32"/>
      <c r="S278" s="28"/>
      <c r="T278" s="74"/>
      <c r="U278" s="26"/>
      <c r="V278" s="23"/>
      <c r="W278" s="23"/>
      <c r="X278" s="23"/>
      <c r="Y278" s="23"/>
      <c r="Z278" s="23"/>
      <c r="AB278" s="23"/>
      <c r="AC278" s="28"/>
      <c r="AD278" s="32"/>
      <c r="AE278" s="58"/>
      <c r="AF278" s="80"/>
      <c r="AG278" s="26"/>
      <c r="AH278" s="23"/>
      <c r="AI278" s="23"/>
      <c r="AJ278" s="23"/>
      <c r="AK278" s="23"/>
      <c r="AL278" s="23"/>
    </row>
    <row r="279" spans="1:39" ht="17.25" customHeight="1" x14ac:dyDescent="0.2">
      <c r="A279" s="50">
        <v>46268</v>
      </c>
      <c r="B279" s="60"/>
      <c r="C279" s="22">
        <f>C271+1</f>
        <v>36</v>
      </c>
      <c r="D279" s="4" t="s">
        <v>33</v>
      </c>
      <c r="E279" s="23"/>
      <c r="F279" s="32"/>
      <c r="G279" s="28"/>
      <c r="H279" s="68"/>
      <c r="I279" s="26"/>
      <c r="J279" s="23"/>
      <c r="K279" s="23"/>
      <c r="L279" s="23"/>
      <c r="M279" s="23"/>
      <c r="N279" s="23"/>
      <c r="O279" s="16"/>
      <c r="P279" s="23"/>
      <c r="Q279" s="28"/>
      <c r="R279" s="32"/>
      <c r="S279" s="28"/>
      <c r="T279" s="74"/>
      <c r="U279" s="26"/>
      <c r="V279" s="23"/>
      <c r="W279" s="23"/>
      <c r="X279" s="23"/>
      <c r="Y279" s="23"/>
      <c r="Z279" s="23"/>
      <c r="AB279" s="23"/>
      <c r="AC279" s="28"/>
      <c r="AD279" s="32"/>
      <c r="AE279" s="28"/>
      <c r="AF279" s="29"/>
      <c r="AG279" s="26"/>
      <c r="AH279" s="23"/>
      <c r="AI279" s="23"/>
      <c r="AJ279" s="23"/>
      <c r="AK279" s="23"/>
      <c r="AL279" s="23"/>
    </row>
    <row r="280" spans="1:39" ht="17.25" customHeight="1" x14ac:dyDescent="0.2">
      <c r="A280" s="50">
        <v>46269</v>
      </c>
      <c r="B280" s="60"/>
      <c r="C280" s="33"/>
      <c r="D280" s="4" t="s">
        <v>35</v>
      </c>
      <c r="E280" s="23"/>
      <c r="F280" s="32"/>
      <c r="G280" s="28"/>
      <c r="H280" s="66"/>
      <c r="I280" s="26"/>
      <c r="J280" s="23"/>
      <c r="K280" s="23"/>
      <c r="L280" s="23"/>
      <c r="M280" s="23"/>
      <c r="N280" s="23"/>
      <c r="O280" s="16"/>
      <c r="P280" s="23"/>
      <c r="Q280" s="28"/>
      <c r="R280" s="32"/>
      <c r="S280" s="28"/>
      <c r="T280" s="65"/>
      <c r="U280" s="26"/>
      <c r="V280" s="23"/>
      <c r="W280" s="23"/>
      <c r="X280" s="23"/>
      <c r="Y280" s="23"/>
      <c r="Z280" s="23"/>
      <c r="AB280" s="23"/>
      <c r="AC280" s="28"/>
      <c r="AD280" s="32"/>
      <c r="AE280" s="28"/>
      <c r="AF280" s="29"/>
      <c r="AG280" s="26"/>
      <c r="AH280" s="23"/>
      <c r="AI280" s="23"/>
      <c r="AJ280" s="23"/>
      <c r="AK280" s="23"/>
      <c r="AL280" s="23"/>
    </row>
    <row r="281" spans="1:39" ht="17.25" customHeight="1" x14ac:dyDescent="0.2">
      <c r="A281" s="50">
        <v>46270</v>
      </c>
      <c r="B281" s="60"/>
      <c r="C281" s="33"/>
      <c r="D281" s="4" t="s">
        <v>36</v>
      </c>
      <c r="E281" s="23"/>
      <c r="F281" s="32"/>
      <c r="G281" s="58"/>
      <c r="H281" s="29"/>
      <c r="I281" s="26"/>
      <c r="J281" s="23"/>
      <c r="K281" s="23"/>
      <c r="L281" s="23"/>
      <c r="M281" s="23"/>
      <c r="N281" s="23"/>
      <c r="P281" s="23"/>
      <c r="Q281" s="28"/>
      <c r="R281" s="32"/>
      <c r="S281" s="28"/>
      <c r="T281" s="74"/>
      <c r="U281" s="26"/>
      <c r="V281" s="23"/>
      <c r="W281" s="23"/>
      <c r="X281" s="23"/>
      <c r="Y281" s="23"/>
      <c r="Z281" s="23"/>
      <c r="AB281" s="23"/>
      <c r="AC281" s="28"/>
      <c r="AD281" s="32"/>
      <c r="AE281" s="28"/>
      <c r="AF281" s="29"/>
      <c r="AG281" s="26"/>
      <c r="AH281" s="23"/>
      <c r="AI281" s="23"/>
      <c r="AJ281" s="23"/>
      <c r="AK281" s="23"/>
      <c r="AL281" s="23"/>
    </row>
    <row r="282" spans="1:39" ht="17.25" customHeight="1" x14ac:dyDescent="0.2">
      <c r="A282" s="50">
        <v>46271</v>
      </c>
      <c r="B282" s="60"/>
      <c r="C282" s="33"/>
      <c r="D282" s="4" t="s">
        <v>37</v>
      </c>
      <c r="E282" s="23"/>
      <c r="F282" s="32"/>
      <c r="G282" s="28"/>
      <c r="H282" s="30"/>
      <c r="I282" s="26"/>
      <c r="J282" s="23"/>
      <c r="K282" s="23"/>
      <c r="L282" s="23"/>
      <c r="M282" s="23"/>
      <c r="N282" s="23"/>
      <c r="P282" s="23"/>
      <c r="Q282" s="28"/>
      <c r="R282" s="32"/>
      <c r="S282" s="28"/>
      <c r="T282" s="65"/>
      <c r="U282" s="26"/>
      <c r="V282" s="23"/>
      <c r="W282" s="23"/>
      <c r="X282" s="23"/>
      <c r="Y282" s="23"/>
      <c r="Z282" s="23"/>
      <c r="AB282" s="23"/>
      <c r="AC282" s="28"/>
      <c r="AD282" s="32"/>
      <c r="AE282" s="28"/>
      <c r="AF282" s="29"/>
      <c r="AG282" s="26"/>
      <c r="AH282" s="23"/>
      <c r="AI282" s="23"/>
      <c r="AJ282" s="23"/>
      <c r="AK282" s="23"/>
      <c r="AL282" s="23"/>
    </row>
    <row r="283" spans="1:39" ht="17.25" customHeight="1" x14ac:dyDescent="0.2">
      <c r="A283" s="48"/>
      <c r="B283" s="60"/>
      <c r="C283" s="77"/>
      <c r="D283" s="15"/>
      <c r="E283" s="14"/>
      <c r="F283" s="15"/>
      <c r="G283" s="16"/>
      <c r="H283" s="15"/>
      <c r="I283" s="17"/>
      <c r="J283" s="17"/>
      <c r="K283" s="17"/>
      <c r="L283" s="17"/>
      <c r="M283" s="17"/>
      <c r="N283" s="17"/>
      <c r="O283" s="15"/>
      <c r="P283" s="14"/>
      <c r="Q283" s="16"/>
      <c r="R283" s="15"/>
      <c r="S283" s="16"/>
      <c r="T283" s="15"/>
      <c r="U283" s="17"/>
      <c r="V283" s="17"/>
      <c r="W283" s="17"/>
      <c r="X283" s="17"/>
      <c r="Y283" s="17"/>
      <c r="Z283" s="17"/>
      <c r="AA283" s="15"/>
      <c r="AB283" s="14"/>
      <c r="AC283" s="16"/>
      <c r="AD283" s="15"/>
      <c r="AE283" s="16"/>
      <c r="AF283" s="15"/>
      <c r="AG283" s="17"/>
      <c r="AH283" s="17"/>
      <c r="AI283" s="17"/>
      <c r="AJ283" s="17"/>
      <c r="AK283" s="17"/>
      <c r="AL283" s="17"/>
      <c r="AM283" s="15"/>
    </row>
    <row r="284" spans="1:39" ht="17.25" customHeight="1" x14ac:dyDescent="0.2">
      <c r="A284" s="50">
        <v>46272</v>
      </c>
      <c r="B284" s="41"/>
      <c r="C284" s="33"/>
      <c r="D284" s="4" t="s">
        <v>19</v>
      </c>
      <c r="E284" s="23"/>
      <c r="F284" s="32"/>
      <c r="G284" s="28"/>
      <c r="H284" s="29"/>
      <c r="I284" s="26"/>
      <c r="J284" s="23"/>
      <c r="K284" s="23"/>
      <c r="L284" s="23"/>
      <c r="M284" s="23"/>
      <c r="N284" s="23"/>
      <c r="P284" s="23"/>
      <c r="Q284" s="28"/>
      <c r="R284" s="32"/>
      <c r="S284" s="28"/>
      <c r="T284" s="74"/>
      <c r="U284" s="26"/>
      <c r="V284" s="23"/>
      <c r="W284" s="23"/>
      <c r="X284" s="23"/>
      <c r="Y284" s="23"/>
      <c r="Z284" s="23"/>
      <c r="AB284" s="23"/>
      <c r="AC284" s="28"/>
      <c r="AD284" s="32"/>
      <c r="AE284" s="28"/>
      <c r="AF284" s="66"/>
      <c r="AG284" s="26"/>
      <c r="AH284" s="23"/>
      <c r="AI284" s="23"/>
      <c r="AJ284" s="23"/>
      <c r="AK284" s="23"/>
      <c r="AL284" s="23"/>
    </row>
    <row r="285" spans="1:39" ht="17.25" customHeight="1" x14ac:dyDescent="0.2">
      <c r="A285" s="50">
        <v>46273</v>
      </c>
      <c r="B285" s="60"/>
      <c r="C285" s="33"/>
      <c r="D285" s="4" t="s">
        <v>27</v>
      </c>
      <c r="E285" s="23"/>
      <c r="F285" s="32"/>
      <c r="G285" s="28"/>
      <c r="H285" s="30"/>
      <c r="I285" s="26"/>
      <c r="J285" s="23"/>
      <c r="K285" s="23"/>
      <c r="L285" s="23"/>
      <c r="M285" s="23"/>
      <c r="N285" s="23"/>
      <c r="P285" s="23"/>
      <c r="Q285" s="28"/>
      <c r="R285" s="32"/>
      <c r="S285" s="28"/>
      <c r="T285" s="88"/>
      <c r="U285" s="26"/>
      <c r="V285" s="23"/>
      <c r="W285" s="23"/>
      <c r="X285" s="23"/>
      <c r="Y285" s="23"/>
      <c r="Z285" s="23"/>
      <c r="AB285" s="23"/>
      <c r="AC285" s="28"/>
      <c r="AD285" s="32"/>
      <c r="AE285" s="28"/>
      <c r="AF285" s="29"/>
      <c r="AG285" s="26"/>
      <c r="AH285" s="23"/>
      <c r="AI285" s="23"/>
      <c r="AJ285" s="23"/>
      <c r="AK285" s="23"/>
      <c r="AL285" s="23"/>
    </row>
    <row r="286" spans="1:39" ht="17.25" customHeight="1" x14ac:dyDescent="0.2">
      <c r="A286" s="50">
        <v>46274</v>
      </c>
      <c r="B286" s="60"/>
      <c r="C286" s="33"/>
      <c r="D286" s="4" t="s">
        <v>31</v>
      </c>
      <c r="E286" s="23"/>
      <c r="F286" s="32"/>
      <c r="G286" s="28"/>
      <c r="H286" s="29"/>
      <c r="I286" s="26"/>
      <c r="J286" s="23"/>
      <c r="K286" s="23"/>
      <c r="L286" s="23"/>
      <c r="M286" s="23"/>
      <c r="N286" s="23"/>
      <c r="P286" s="23"/>
      <c r="Q286" s="28"/>
      <c r="R286" s="32"/>
      <c r="S286" s="58"/>
      <c r="T286" s="74"/>
      <c r="U286" s="26"/>
      <c r="V286" s="23"/>
      <c r="W286" s="23"/>
      <c r="X286" s="23"/>
      <c r="Y286" s="23"/>
      <c r="Z286" s="23"/>
      <c r="AB286" s="23"/>
      <c r="AC286" s="28"/>
      <c r="AD286" s="32"/>
      <c r="AE286" s="58"/>
      <c r="AF286" s="59"/>
      <c r="AG286" s="26"/>
      <c r="AH286" s="23"/>
      <c r="AI286" s="23"/>
      <c r="AJ286" s="23"/>
      <c r="AK286" s="23"/>
      <c r="AL286" s="23"/>
    </row>
    <row r="287" spans="1:39" ht="17.25" customHeight="1" x14ac:dyDescent="0.2">
      <c r="A287" s="50">
        <v>46275</v>
      </c>
      <c r="B287" s="60"/>
      <c r="C287" s="22">
        <f>C279+1</f>
        <v>37</v>
      </c>
      <c r="D287" s="4" t="s">
        <v>33</v>
      </c>
      <c r="E287" s="23"/>
      <c r="F287" s="32"/>
      <c r="G287" s="28"/>
      <c r="H287" s="30"/>
      <c r="I287" s="26"/>
      <c r="J287" s="23"/>
      <c r="K287" s="23"/>
      <c r="L287" s="23"/>
      <c r="M287" s="23"/>
      <c r="N287" s="23"/>
      <c r="P287" s="23"/>
      <c r="Q287" s="28"/>
      <c r="R287" s="32"/>
      <c r="S287" s="28"/>
      <c r="T287" s="74"/>
      <c r="U287" s="26"/>
      <c r="V287" s="23"/>
      <c r="W287" s="23"/>
      <c r="X287" s="23"/>
      <c r="Y287" s="23"/>
      <c r="Z287" s="23"/>
      <c r="AB287" s="23"/>
      <c r="AC287" s="28"/>
      <c r="AD287" s="32"/>
      <c r="AE287" s="58"/>
      <c r="AF287" s="29"/>
      <c r="AG287" s="26"/>
      <c r="AH287" s="23"/>
      <c r="AI287" s="23"/>
      <c r="AJ287" s="23"/>
      <c r="AK287" s="23"/>
      <c r="AL287" s="23"/>
    </row>
    <row r="288" spans="1:39" ht="17.25" customHeight="1" x14ac:dyDescent="0.2">
      <c r="A288" s="50">
        <v>46276</v>
      </c>
      <c r="B288" s="60"/>
      <c r="C288" s="33"/>
      <c r="D288" s="4" t="s">
        <v>35</v>
      </c>
      <c r="E288" s="23"/>
      <c r="F288" s="32"/>
      <c r="G288" s="58"/>
      <c r="H288" s="29"/>
      <c r="I288" s="26"/>
      <c r="J288" s="23"/>
      <c r="K288" s="23"/>
      <c r="L288" s="23"/>
      <c r="M288" s="23"/>
      <c r="N288" s="23"/>
      <c r="P288" s="23"/>
      <c r="Q288" s="28"/>
      <c r="R288" s="32"/>
      <c r="S288" s="28"/>
      <c r="T288" s="65"/>
      <c r="U288" s="26"/>
      <c r="V288" s="23"/>
      <c r="W288" s="23"/>
      <c r="X288" s="23"/>
      <c r="Y288" s="23"/>
      <c r="Z288" s="23"/>
      <c r="AB288" s="23"/>
      <c r="AC288" s="28"/>
      <c r="AD288" s="32"/>
      <c r="AE288" s="28"/>
      <c r="AF288" s="29"/>
      <c r="AG288" s="26"/>
      <c r="AH288" s="23"/>
      <c r="AI288" s="23"/>
      <c r="AJ288" s="23"/>
      <c r="AK288" s="23"/>
      <c r="AL288" s="23"/>
    </row>
    <row r="289" spans="1:39" ht="17.25" customHeight="1" x14ac:dyDescent="0.2">
      <c r="A289" s="50">
        <v>46277</v>
      </c>
      <c r="B289" s="60"/>
      <c r="C289" s="33"/>
      <c r="D289" s="4" t="s">
        <v>36</v>
      </c>
      <c r="E289" s="23"/>
      <c r="F289" s="32"/>
      <c r="G289" s="28"/>
      <c r="H289" s="29"/>
      <c r="I289" s="26"/>
      <c r="J289" s="23"/>
      <c r="K289" s="23"/>
      <c r="L289" s="23"/>
      <c r="M289" s="23"/>
      <c r="N289" s="23"/>
      <c r="P289" s="23"/>
      <c r="Q289" s="28"/>
      <c r="R289" s="32"/>
      <c r="S289" s="28"/>
      <c r="T289" s="74"/>
      <c r="U289" s="26"/>
      <c r="V289" s="23"/>
      <c r="W289" s="23"/>
      <c r="X289" s="23"/>
      <c r="Y289" s="23"/>
      <c r="Z289" s="23"/>
      <c r="AB289" s="23"/>
      <c r="AC289" s="28"/>
      <c r="AD289" s="32"/>
      <c r="AE289" s="28"/>
      <c r="AF289" s="29"/>
      <c r="AG289" s="26"/>
      <c r="AH289" s="23"/>
      <c r="AI289" s="23"/>
      <c r="AJ289" s="23"/>
      <c r="AK289" s="23"/>
      <c r="AL289" s="23"/>
    </row>
    <row r="290" spans="1:39" ht="17.25" customHeight="1" x14ac:dyDescent="0.2">
      <c r="A290" s="50">
        <v>46278</v>
      </c>
      <c r="B290" s="60"/>
      <c r="C290" s="33"/>
      <c r="D290" s="4" t="s">
        <v>37</v>
      </c>
      <c r="E290" s="23"/>
      <c r="F290" s="32"/>
      <c r="G290" s="28"/>
      <c r="H290" s="29"/>
      <c r="I290" s="26"/>
      <c r="J290" s="23"/>
      <c r="K290" s="23"/>
      <c r="L290" s="23"/>
      <c r="M290" s="23"/>
      <c r="N290" s="23"/>
      <c r="P290" s="23"/>
      <c r="Q290" s="28"/>
      <c r="R290" s="32"/>
      <c r="S290" s="28"/>
      <c r="T290" s="65"/>
      <c r="U290" s="26"/>
      <c r="V290" s="23"/>
      <c r="W290" s="23"/>
      <c r="X290" s="23"/>
      <c r="Y290" s="23"/>
      <c r="Z290" s="23"/>
      <c r="AB290" s="23"/>
      <c r="AC290" s="28"/>
      <c r="AD290" s="32"/>
      <c r="AE290" s="28"/>
      <c r="AF290" s="29"/>
      <c r="AG290" s="26"/>
      <c r="AH290" s="23"/>
      <c r="AI290" s="23"/>
      <c r="AJ290" s="23"/>
      <c r="AK290" s="23"/>
      <c r="AL290" s="23"/>
    </row>
    <row r="291" spans="1:39" ht="17.25" customHeight="1" x14ac:dyDescent="0.2">
      <c r="A291" s="48"/>
      <c r="B291" s="60"/>
      <c r="C291" s="77"/>
      <c r="D291" s="15"/>
      <c r="E291" s="14"/>
      <c r="F291" s="15"/>
      <c r="G291" s="16"/>
      <c r="H291" s="15"/>
      <c r="I291" s="17"/>
      <c r="J291" s="17"/>
      <c r="K291" s="17"/>
      <c r="L291" s="17"/>
      <c r="M291" s="17"/>
      <c r="N291" s="17"/>
      <c r="O291" s="15"/>
      <c r="P291" s="14"/>
      <c r="Q291" s="16"/>
      <c r="R291" s="15"/>
      <c r="S291" s="16"/>
      <c r="T291" s="15"/>
      <c r="U291" s="17"/>
      <c r="V291" s="17"/>
      <c r="W291" s="17"/>
      <c r="X291" s="17"/>
      <c r="Y291" s="17"/>
      <c r="Z291" s="17"/>
      <c r="AA291" s="15"/>
      <c r="AB291" s="14"/>
      <c r="AC291" s="16"/>
      <c r="AD291" s="15"/>
      <c r="AE291" s="16"/>
      <c r="AF291" s="15"/>
      <c r="AG291" s="17"/>
      <c r="AH291" s="17"/>
      <c r="AI291" s="17"/>
      <c r="AJ291" s="17"/>
      <c r="AK291" s="17"/>
      <c r="AL291" s="17"/>
      <c r="AM291" s="15"/>
    </row>
    <row r="292" spans="1:39" ht="17.25" customHeight="1" x14ac:dyDescent="0.2">
      <c r="A292" s="50">
        <v>46279</v>
      </c>
      <c r="B292" s="60"/>
      <c r="C292" s="33"/>
      <c r="D292" s="4" t="s">
        <v>19</v>
      </c>
      <c r="E292" s="23"/>
      <c r="F292" s="32"/>
      <c r="G292" s="28"/>
      <c r="H292" s="29"/>
      <c r="I292" s="26"/>
      <c r="J292" s="23"/>
      <c r="K292" s="23"/>
      <c r="L292" s="23"/>
      <c r="M292" s="23"/>
      <c r="N292" s="23"/>
      <c r="P292" s="23"/>
      <c r="Q292" s="28"/>
      <c r="R292" s="32"/>
      <c r="S292" s="28"/>
      <c r="T292" s="74"/>
      <c r="U292" s="26"/>
      <c r="V292" s="23"/>
      <c r="W292" s="23"/>
      <c r="X292" s="23"/>
      <c r="Y292" s="23"/>
      <c r="Z292" s="23"/>
      <c r="AB292" s="23"/>
      <c r="AC292" s="28"/>
      <c r="AD292" s="32"/>
      <c r="AE292" s="28"/>
      <c r="AF292" s="29"/>
      <c r="AG292" s="26"/>
      <c r="AH292" s="23"/>
      <c r="AI292" s="23"/>
      <c r="AJ292" s="23"/>
      <c r="AK292" s="23"/>
      <c r="AL292" s="23"/>
    </row>
    <row r="293" spans="1:39" ht="17.25" customHeight="1" x14ac:dyDescent="0.2">
      <c r="A293" s="50">
        <v>46280</v>
      </c>
      <c r="B293" s="60" t="s">
        <v>197</v>
      </c>
      <c r="C293" s="33"/>
      <c r="D293" s="4" t="s">
        <v>27</v>
      </c>
      <c r="E293" s="23"/>
      <c r="F293" s="32"/>
      <c r="G293" s="28"/>
      <c r="H293" s="29"/>
      <c r="I293" s="26"/>
      <c r="J293" s="23"/>
      <c r="K293" s="23"/>
      <c r="L293" s="23"/>
      <c r="M293" s="23"/>
      <c r="N293" s="23"/>
      <c r="P293" s="23"/>
      <c r="Q293" s="28"/>
      <c r="R293" s="32"/>
      <c r="S293" s="58"/>
      <c r="T293" s="88"/>
      <c r="U293" s="26"/>
      <c r="V293" s="23"/>
      <c r="W293" s="23"/>
      <c r="X293" s="23"/>
      <c r="Y293" s="23"/>
      <c r="Z293" s="23"/>
      <c r="AB293" s="23"/>
      <c r="AC293" s="28"/>
      <c r="AD293" s="32"/>
      <c r="AE293" s="28"/>
      <c r="AF293" s="29"/>
      <c r="AG293" s="26"/>
      <c r="AH293" s="23"/>
      <c r="AI293" s="23"/>
      <c r="AJ293" s="23"/>
      <c r="AK293" s="23"/>
      <c r="AL293" s="23"/>
    </row>
    <row r="294" spans="1:39" ht="17.25" customHeight="1" x14ac:dyDescent="0.2">
      <c r="A294" s="50">
        <v>46281</v>
      </c>
      <c r="B294" s="60"/>
      <c r="C294" s="33"/>
      <c r="D294" s="4" t="s">
        <v>31</v>
      </c>
      <c r="E294" s="23"/>
      <c r="F294" s="32"/>
      <c r="G294" s="28"/>
      <c r="H294" s="30"/>
      <c r="I294" s="26"/>
      <c r="J294" s="23"/>
      <c r="K294" s="23"/>
      <c r="L294" s="23"/>
      <c r="M294" s="23"/>
      <c r="N294" s="23"/>
      <c r="P294" s="23"/>
      <c r="Q294" s="28"/>
      <c r="R294" s="32"/>
      <c r="S294" s="58"/>
      <c r="T294" s="74"/>
      <c r="U294" s="26"/>
      <c r="V294" s="23"/>
      <c r="W294" s="23"/>
      <c r="X294" s="23"/>
      <c r="Y294" s="23"/>
      <c r="Z294" s="23"/>
      <c r="AB294" s="23"/>
      <c r="AC294" s="28"/>
      <c r="AD294" s="32"/>
      <c r="AE294" s="58"/>
      <c r="AF294" s="59"/>
      <c r="AG294" s="26"/>
      <c r="AH294" s="23"/>
      <c r="AI294" s="23"/>
      <c r="AJ294" s="23"/>
      <c r="AK294" s="23"/>
      <c r="AL294" s="23"/>
    </row>
    <row r="295" spans="1:39" ht="17.25" customHeight="1" x14ac:dyDescent="0.2">
      <c r="A295" s="50">
        <v>46282</v>
      </c>
      <c r="B295" s="60"/>
      <c r="C295" s="22">
        <f>C287+1</f>
        <v>38</v>
      </c>
      <c r="D295" s="4" t="s">
        <v>33</v>
      </c>
      <c r="E295" s="23"/>
      <c r="F295" s="32"/>
      <c r="G295" s="28"/>
      <c r="H295" s="30"/>
      <c r="I295" s="26"/>
      <c r="J295" s="23"/>
      <c r="K295" s="23"/>
      <c r="L295" s="23"/>
      <c r="M295" s="23"/>
      <c r="N295" s="23"/>
      <c r="P295" s="23"/>
      <c r="Q295" s="28"/>
      <c r="R295" s="32"/>
      <c r="S295" s="28"/>
      <c r="T295" s="74"/>
      <c r="U295" s="26"/>
      <c r="V295" s="23"/>
      <c r="W295" s="23"/>
      <c r="X295" s="23"/>
      <c r="Y295" s="23"/>
      <c r="Z295" s="23"/>
      <c r="AB295" s="23"/>
      <c r="AC295" s="28"/>
      <c r="AD295" s="32"/>
      <c r="AE295" s="28"/>
      <c r="AF295" s="66"/>
      <c r="AG295" s="26"/>
      <c r="AH295" s="23"/>
      <c r="AI295" s="23"/>
      <c r="AJ295" s="23"/>
      <c r="AK295" s="23"/>
      <c r="AL295" s="23"/>
    </row>
    <row r="296" spans="1:39" ht="17.25" customHeight="1" x14ac:dyDescent="0.2">
      <c r="A296" s="50">
        <v>46283</v>
      </c>
      <c r="B296" s="60"/>
      <c r="C296" s="33"/>
      <c r="D296" s="4" t="s">
        <v>35</v>
      </c>
      <c r="E296" s="23"/>
      <c r="F296" s="32"/>
      <c r="G296" s="28"/>
      <c r="H296" s="30"/>
      <c r="I296" s="26"/>
      <c r="J296" s="23"/>
      <c r="K296" s="23"/>
      <c r="L296" s="23"/>
      <c r="M296" s="23"/>
      <c r="N296" s="23"/>
      <c r="P296" s="23"/>
      <c r="Q296" s="28"/>
      <c r="R296" s="32"/>
      <c r="S296" s="28"/>
      <c r="T296" s="65"/>
      <c r="U296" s="26"/>
      <c r="V296" s="23"/>
      <c r="W296" s="23"/>
      <c r="X296" s="23"/>
      <c r="Y296" s="23"/>
      <c r="Z296" s="23"/>
      <c r="AB296" s="23"/>
      <c r="AC296" s="28"/>
      <c r="AD296" s="32"/>
      <c r="AE296" s="28"/>
      <c r="AF296" s="29"/>
      <c r="AG296" s="26"/>
      <c r="AH296" s="23"/>
      <c r="AI296" s="23"/>
      <c r="AJ296" s="23"/>
      <c r="AK296" s="23"/>
      <c r="AL296" s="23"/>
    </row>
    <row r="297" spans="1:39" ht="17.25" customHeight="1" x14ac:dyDescent="0.2">
      <c r="A297" s="50">
        <v>46284</v>
      </c>
      <c r="B297" s="60"/>
      <c r="C297" s="33"/>
      <c r="D297" s="4" t="s">
        <v>36</v>
      </c>
      <c r="E297" s="23"/>
      <c r="F297" s="32"/>
      <c r="G297" s="28"/>
      <c r="H297" s="30"/>
      <c r="I297" s="26"/>
      <c r="J297" s="23"/>
      <c r="K297" s="23"/>
      <c r="L297" s="23"/>
      <c r="M297" s="23"/>
      <c r="N297" s="23"/>
      <c r="P297" s="23"/>
      <c r="Q297" s="28"/>
      <c r="R297" s="32"/>
      <c r="S297" s="28"/>
      <c r="T297" s="74"/>
      <c r="U297" s="26"/>
      <c r="V297" s="23"/>
      <c r="W297" s="23"/>
      <c r="X297" s="23"/>
      <c r="Y297" s="23"/>
      <c r="Z297" s="23"/>
      <c r="AB297" s="23"/>
      <c r="AC297" s="28"/>
      <c r="AD297" s="32"/>
      <c r="AE297" s="28"/>
      <c r="AF297" s="29"/>
      <c r="AG297" s="26"/>
      <c r="AH297" s="23"/>
      <c r="AI297" s="23"/>
      <c r="AJ297" s="23"/>
      <c r="AK297" s="23"/>
      <c r="AL297" s="23"/>
    </row>
    <row r="298" spans="1:39" ht="17.25" customHeight="1" x14ac:dyDescent="0.2">
      <c r="A298" s="50">
        <v>46285</v>
      </c>
      <c r="B298" s="60"/>
      <c r="C298" s="33"/>
      <c r="D298" s="4" t="s">
        <v>37</v>
      </c>
      <c r="E298" s="23"/>
      <c r="F298" s="32"/>
      <c r="G298" s="28"/>
      <c r="H298" s="29"/>
      <c r="I298" s="26"/>
      <c r="J298" s="23"/>
      <c r="K298" s="23"/>
      <c r="L298" s="23"/>
      <c r="M298" s="23"/>
      <c r="N298" s="23"/>
      <c r="P298" s="23"/>
      <c r="Q298" s="28"/>
      <c r="R298" s="32"/>
      <c r="S298" s="28"/>
      <c r="T298" s="65"/>
      <c r="U298" s="26"/>
      <c r="V298" s="23"/>
      <c r="W298" s="23"/>
      <c r="X298" s="23"/>
      <c r="Y298" s="23"/>
      <c r="Z298" s="23"/>
      <c r="AB298" s="23"/>
      <c r="AC298" s="28"/>
      <c r="AD298" s="32"/>
      <c r="AE298" s="28"/>
      <c r="AF298" s="30"/>
      <c r="AG298" s="26"/>
      <c r="AH298" s="23"/>
      <c r="AI298" s="23"/>
      <c r="AJ298" s="23"/>
      <c r="AK298" s="23"/>
      <c r="AL298" s="23"/>
    </row>
    <row r="299" spans="1:39" ht="17.25" customHeight="1" x14ac:dyDescent="0.2">
      <c r="A299" s="48"/>
      <c r="B299" s="60"/>
      <c r="C299" s="77"/>
      <c r="D299" s="15"/>
      <c r="E299" s="14"/>
      <c r="F299" s="15"/>
      <c r="G299" s="16"/>
      <c r="H299" s="15"/>
      <c r="I299" s="17"/>
      <c r="J299" s="17"/>
      <c r="K299" s="17"/>
      <c r="L299" s="17"/>
      <c r="M299" s="17"/>
      <c r="N299" s="17"/>
      <c r="O299" s="15"/>
      <c r="P299" s="14"/>
      <c r="Q299" s="16"/>
      <c r="R299" s="15"/>
      <c r="S299" s="16"/>
      <c r="T299" s="15"/>
      <c r="U299" s="17"/>
      <c r="V299" s="17"/>
      <c r="W299" s="17"/>
      <c r="X299" s="17"/>
      <c r="Y299" s="17"/>
      <c r="Z299" s="17"/>
      <c r="AA299" s="15"/>
      <c r="AB299" s="14"/>
      <c r="AC299" s="16"/>
      <c r="AD299" s="15"/>
      <c r="AE299" s="16"/>
      <c r="AF299" s="15"/>
      <c r="AG299" s="17"/>
      <c r="AH299" s="17"/>
      <c r="AI299" s="17"/>
      <c r="AJ299" s="17"/>
      <c r="AK299" s="17"/>
      <c r="AL299" s="17"/>
      <c r="AM299" s="15"/>
    </row>
    <row r="300" spans="1:39" ht="17.25" customHeight="1" x14ac:dyDescent="0.2">
      <c r="A300" s="50">
        <v>46286</v>
      </c>
      <c r="B300" s="60"/>
      <c r="C300" s="33"/>
      <c r="D300" s="4" t="s">
        <v>19</v>
      </c>
      <c r="E300" s="23"/>
      <c r="F300" s="32"/>
      <c r="G300" s="28"/>
      <c r="H300" s="30"/>
      <c r="I300" s="26"/>
      <c r="J300" s="23"/>
      <c r="K300" s="23"/>
      <c r="L300" s="23"/>
      <c r="M300" s="23"/>
      <c r="N300" s="23"/>
      <c r="P300" s="23"/>
      <c r="Q300" s="28"/>
      <c r="R300" s="32"/>
      <c r="S300" s="28"/>
      <c r="T300" s="74"/>
      <c r="U300" s="26"/>
      <c r="V300" s="23"/>
      <c r="W300" s="23"/>
      <c r="X300" s="23"/>
      <c r="Y300" s="23"/>
      <c r="Z300" s="23"/>
      <c r="AB300" s="23"/>
      <c r="AC300" s="28"/>
      <c r="AD300" s="32"/>
      <c r="AE300" s="28"/>
      <c r="AF300" s="68"/>
      <c r="AG300" s="26"/>
      <c r="AH300" s="23"/>
      <c r="AI300" s="23"/>
      <c r="AJ300" s="23"/>
      <c r="AK300" s="23"/>
      <c r="AL300" s="23"/>
    </row>
    <row r="301" spans="1:39" ht="17.25" customHeight="1" x14ac:dyDescent="0.2">
      <c r="A301" s="50">
        <v>46287</v>
      </c>
      <c r="C301" s="33"/>
      <c r="D301" s="4" t="s">
        <v>27</v>
      </c>
      <c r="E301" s="23"/>
      <c r="F301" s="32"/>
      <c r="G301" s="28"/>
      <c r="H301" s="29"/>
      <c r="I301" s="26"/>
      <c r="J301" s="23"/>
      <c r="K301" s="23"/>
      <c r="L301" s="23"/>
      <c r="M301" s="23"/>
      <c r="N301" s="23"/>
      <c r="P301" s="23"/>
      <c r="Q301" s="28"/>
      <c r="R301" s="32"/>
      <c r="S301" s="28"/>
      <c r="T301" s="88"/>
      <c r="U301" s="26"/>
      <c r="V301" s="23"/>
      <c r="W301" s="23"/>
      <c r="X301" s="23"/>
      <c r="Y301" s="23"/>
      <c r="Z301" s="23"/>
      <c r="AB301" s="23"/>
      <c r="AC301" s="28"/>
      <c r="AD301" s="32"/>
      <c r="AE301" s="28"/>
      <c r="AF301" s="30"/>
      <c r="AG301" s="26"/>
      <c r="AH301" s="23"/>
      <c r="AI301" s="23"/>
      <c r="AJ301" s="23"/>
      <c r="AK301" s="23"/>
      <c r="AL301" s="23"/>
    </row>
    <row r="302" spans="1:39" ht="17.25" customHeight="1" x14ac:dyDescent="0.2">
      <c r="A302" s="50">
        <v>46288</v>
      </c>
      <c r="B302" s="60"/>
      <c r="C302" s="33"/>
      <c r="D302" s="4" t="s">
        <v>31</v>
      </c>
      <c r="E302" s="23"/>
      <c r="F302" s="32"/>
      <c r="G302" s="58"/>
      <c r="H302" s="30"/>
      <c r="I302" s="26"/>
      <c r="J302" s="23"/>
      <c r="K302" s="23"/>
      <c r="L302" s="23"/>
      <c r="M302" s="23"/>
      <c r="N302" s="23"/>
      <c r="P302" s="23"/>
      <c r="Q302" s="28"/>
      <c r="R302" s="32"/>
      <c r="S302" s="58"/>
      <c r="T302" s="74"/>
      <c r="U302" s="26"/>
      <c r="V302" s="23"/>
      <c r="W302" s="23"/>
      <c r="X302" s="23"/>
      <c r="Y302" s="23"/>
      <c r="Z302" s="23"/>
      <c r="AB302" s="23"/>
      <c r="AC302" s="28"/>
      <c r="AD302" s="32"/>
      <c r="AE302" s="58"/>
      <c r="AF302" s="59"/>
      <c r="AG302" s="26"/>
      <c r="AH302" s="23"/>
      <c r="AI302" s="23"/>
      <c r="AJ302" s="23"/>
      <c r="AK302" s="23"/>
      <c r="AL302" s="23"/>
    </row>
    <row r="303" spans="1:39" ht="17.25" customHeight="1" x14ac:dyDescent="0.2">
      <c r="A303" s="50">
        <v>46289</v>
      </c>
      <c r="B303" s="60"/>
      <c r="C303" s="22">
        <f>C295+1</f>
        <v>39</v>
      </c>
      <c r="D303" s="4" t="s">
        <v>33</v>
      </c>
      <c r="E303" s="23"/>
      <c r="F303" s="32"/>
      <c r="G303" s="28"/>
      <c r="H303" s="30"/>
      <c r="I303" s="26"/>
      <c r="J303" s="23"/>
      <c r="K303" s="23"/>
      <c r="L303" s="23"/>
      <c r="M303" s="23"/>
      <c r="N303" s="23"/>
      <c r="P303" s="23"/>
      <c r="Q303" s="28"/>
      <c r="R303" s="32"/>
      <c r="S303" s="28"/>
      <c r="T303" s="74"/>
      <c r="U303" s="26"/>
      <c r="V303" s="23"/>
      <c r="W303" s="23"/>
      <c r="X303" s="23"/>
      <c r="Y303" s="23"/>
      <c r="Z303" s="23"/>
      <c r="AB303" s="23"/>
      <c r="AC303" s="28"/>
      <c r="AD303" s="32"/>
      <c r="AE303" s="28"/>
      <c r="AF303" s="30"/>
      <c r="AG303" s="26"/>
      <c r="AH303" s="23"/>
      <c r="AI303" s="23"/>
      <c r="AJ303" s="23"/>
      <c r="AK303" s="23"/>
      <c r="AL303" s="23"/>
    </row>
    <row r="304" spans="1:39" ht="17.25" customHeight="1" x14ac:dyDescent="0.2">
      <c r="A304" s="50">
        <v>46290</v>
      </c>
      <c r="B304" s="60"/>
      <c r="C304" s="33"/>
      <c r="D304" s="4" t="s">
        <v>35</v>
      </c>
      <c r="E304" s="23"/>
      <c r="F304" s="32"/>
      <c r="G304" s="28"/>
      <c r="H304" s="29"/>
      <c r="I304" s="26"/>
      <c r="J304" s="23"/>
      <c r="K304" s="23"/>
      <c r="L304" s="23"/>
      <c r="M304" s="23"/>
      <c r="N304" s="23"/>
      <c r="P304" s="23"/>
      <c r="Q304" s="28"/>
      <c r="R304" s="32"/>
      <c r="S304" s="28"/>
      <c r="T304" s="65"/>
      <c r="U304" s="26"/>
      <c r="V304" s="23"/>
      <c r="W304" s="23"/>
      <c r="X304" s="23"/>
      <c r="Y304" s="23"/>
      <c r="Z304" s="23"/>
      <c r="AB304" s="23"/>
      <c r="AC304" s="28"/>
      <c r="AD304" s="32"/>
      <c r="AE304" s="28"/>
      <c r="AF304" s="29"/>
      <c r="AG304" s="26"/>
      <c r="AH304" s="23"/>
      <c r="AI304" s="23"/>
      <c r="AJ304" s="23"/>
      <c r="AK304" s="23"/>
      <c r="AL304" s="23"/>
    </row>
    <row r="305" spans="1:39" ht="17.25" customHeight="1" x14ac:dyDescent="0.2">
      <c r="A305" s="50">
        <v>46291</v>
      </c>
      <c r="B305" s="60"/>
      <c r="C305" s="33"/>
      <c r="D305" s="4" t="s">
        <v>36</v>
      </c>
      <c r="E305" s="23"/>
      <c r="F305" s="32"/>
      <c r="G305" s="28"/>
      <c r="H305" s="29"/>
      <c r="I305" s="26"/>
      <c r="J305" s="23"/>
      <c r="K305" s="23"/>
      <c r="L305" s="23"/>
      <c r="M305" s="23"/>
      <c r="N305" s="23"/>
      <c r="P305" s="23"/>
      <c r="Q305" s="28"/>
      <c r="R305" s="32"/>
      <c r="S305" s="28"/>
      <c r="T305" s="74"/>
      <c r="U305" s="26"/>
      <c r="V305" s="23"/>
      <c r="W305" s="23"/>
      <c r="X305" s="23"/>
      <c r="Y305" s="23"/>
      <c r="Z305" s="23"/>
      <c r="AB305" s="23"/>
      <c r="AC305" s="28"/>
      <c r="AD305" s="32"/>
      <c r="AE305" s="28"/>
      <c r="AF305" s="29"/>
      <c r="AG305" s="26"/>
      <c r="AH305" s="23"/>
      <c r="AI305" s="23"/>
      <c r="AJ305" s="23"/>
      <c r="AK305" s="23"/>
      <c r="AL305" s="23"/>
    </row>
    <row r="306" spans="1:39" ht="17.25" customHeight="1" x14ac:dyDescent="0.2">
      <c r="A306" s="50">
        <v>46292</v>
      </c>
      <c r="B306" s="60"/>
      <c r="C306" s="33"/>
      <c r="D306" s="4" t="s">
        <v>37</v>
      </c>
      <c r="E306" s="23"/>
      <c r="F306" s="32"/>
      <c r="G306" s="28"/>
      <c r="H306" s="29"/>
      <c r="I306" s="26"/>
      <c r="J306" s="23"/>
      <c r="K306" s="23"/>
      <c r="L306" s="23"/>
      <c r="M306" s="23"/>
      <c r="N306" s="23"/>
      <c r="P306" s="23"/>
      <c r="Q306" s="28"/>
      <c r="R306" s="32"/>
      <c r="S306" s="28"/>
      <c r="T306" s="65"/>
      <c r="U306" s="26"/>
      <c r="V306" s="23"/>
      <c r="W306" s="23"/>
      <c r="X306" s="23"/>
      <c r="Y306" s="23"/>
      <c r="Z306" s="23"/>
      <c r="AB306" s="23"/>
      <c r="AC306" s="28"/>
      <c r="AD306" s="32"/>
      <c r="AE306" s="28"/>
      <c r="AF306" s="29"/>
      <c r="AG306" s="26"/>
      <c r="AH306" s="23"/>
      <c r="AI306" s="23"/>
      <c r="AJ306" s="23"/>
      <c r="AK306" s="23"/>
      <c r="AL306" s="23"/>
    </row>
    <row r="307" spans="1:39" ht="17.25" customHeight="1" x14ac:dyDescent="0.2">
      <c r="A307" s="48"/>
      <c r="B307" s="60"/>
      <c r="C307" s="77"/>
      <c r="D307" s="15"/>
      <c r="E307" s="14"/>
      <c r="F307" s="15"/>
      <c r="G307" s="16"/>
      <c r="H307" s="15"/>
      <c r="I307" s="17"/>
      <c r="J307" s="17"/>
      <c r="K307" s="17"/>
      <c r="L307" s="17"/>
      <c r="M307" s="17"/>
      <c r="N307" s="17"/>
      <c r="O307" s="15"/>
      <c r="P307" s="14"/>
      <c r="Q307" s="16"/>
      <c r="R307" s="15"/>
      <c r="S307" s="16"/>
      <c r="T307" s="15"/>
      <c r="U307" s="17"/>
      <c r="V307" s="17"/>
      <c r="W307" s="17"/>
      <c r="X307" s="17"/>
      <c r="Y307" s="17"/>
      <c r="Z307" s="17"/>
      <c r="AA307" s="15"/>
      <c r="AB307" s="14"/>
      <c r="AC307" s="16"/>
      <c r="AD307" s="15"/>
      <c r="AE307" s="16"/>
      <c r="AF307" s="15"/>
      <c r="AG307" s="17"/>
      <c r="AH307" s="17"/>
      <c r="AI307" s="17"/>
      <c r="AJ307" s="17"/>
      <c r="AK307" s="17"/>
      <c r="AL307" s="17"/>
      <c r="AM307" s="15"/>
    </row>
    <row r="308" spans="1:39" ht="17.25" customHeight="1" x14ac:dyDescent="0.2">
      <c r="A308" s="50">
        <v>46293</v>
      </c>
      <c r="B308" s="60"/>
      <c r="C308" s="33"/>
      <c r="D308" s="4" t="s">
        <v>19</v>
      </c>
      <c r="E308" s="23"/>
      <c r="F308" s="32"/>
      <c r="G308" s="28"/>
      <c r="H308" s="30"/>
      <c r="I308" s="26"/>
      <c r="J308" s="23"/>
      <c r="K308" s="23"/>
      <c r="L308" s="23"/>
      <c r="M308" s="23"/>
      <c r="N308" s="23"/>
      <c r="P308" s="23"/>
      <c r="Q308" s="28"/>
      <c r="R308" s="32"/>
      <c r="S308" s="28"/>
      <c r="T308" s="74"/>
      <c r="U308" s="26"/>
      <c r="V308" s="23"/>
      <c r="W308" s="23"/>
      <c r="X308" s="23"/>
      <c r="Y308" s="23"/>
      <c r="Z308" s="23"/>
      <c r="AB308" s="23"/>
      <c r="AC308" s="28"/>
      <c r="AD308" s="32"/>
      <c r="AE308" s="28"/>
      <c r="AF308" s="30"/>
      <c r="AG308" s="26"/>
      <c r="AH308" s="23"/>
      <c r="AI308" s="23"/>
      <c r="AJ308" s="23"/>
      <c r="AK308" s="23"/>
      <c r="AL308" s="23"/>
    </row>
    <row r="309" spans="1:39" ht="17.25" customHeight="1" x14ac:dyDescent="0.2">
      <c r="A309" s="50">
        <v>46294</v>
      </c>
      <c r="B309" s="60"/>
      <c r="C309" s="33"/>
      <c r="D309" s="4" t="s">
        <v>27</v>
      </c>
      <c r="E309" s="23"/>
      <c r="F309" s="32"/>
      <c r="G309" s="28"/>
      <c r="H309" s="30"/>
      <c r="I309" s="26"/>
      <c r="J309" s="23"/>
      <c r="K309" s="23"/>
      <c r="L309" s="23"/>
      <c r="M309" s="23"/>
      <c r="N309" s="23"/>
      <c r="P309" s="23"/>
      <c r="Q309" s="28"/>
      <c r="R309" s="32"/>
      <c r="S309" s="28"/>
      <c r="T309" s="88"/>
      <c r="U309" s="26"/>
      <c r="V309" s="23"/>
      <c r="W309" s="23"/>
      <c r="X309" s="23"/>
      <c r="Y309" s="23"/>
      <c r="Z309" s="23"/>
      <c r="AB309" s="23"/>
      <c r="AC309" s="28"/>
      <c r="AD309" s="32"/>
      <c r="AE309" s="28"/>
      <c r="AF309" s="66"/>
      <c r="AG309" s="26"/>
      <c r="AH309" s="23"/>
      <c r="AI309" s="23"/>
      <c r="AJ309" s="23"/>
      <c r="AK309" s="23"/>
      <c r="AL309" s="23"/>
    </row>
    <row r="310" spans="1:39" ht="17.25" customHeight="1" x14ac:dyDescent="0.2">
      <c r="A310" s="50">
        <v>46295</v>
      </c>
      <c r="B310" s="60"/>
      <c r="C310" s="33"/>
      <c r="D310" s="4" t="s">
        <v>31</v>
      </c>
      <c r="E310" s="23"/>
      <c r="F310" s="32"/>
      <c r="G310" s="28"/>
      <c r="H310" s="30"/>
      <c r="I310" s="26"/>
      <c r="J310" s="23"/>
      <c r="K310" s="23"/>
      <c r="L310" s="23"/>
      <c r="M310" s="23"/>
      <c r="N310" s="23"/>
      <c r="P310" s="23"/>
      <c r="Q310" s="28"/>
      <c r="R310" s="32"/>
      <c r="S310" s="58"/>
      <c r="T310" s="74"/>
      <c r="U310" s="26"/>
      <c r="V310" s="23"/>
      <c r="W310" s="23"/>
      <c r="X310" s="23"/>
      <c r="Y310" s="23"/>
      <c r="Z310" s="23"/>
      <c r="AB310" s="23"/>
      <c r="AC310" s="28"/>
      <c r="AD310" s="32"/>
      <c r="AE310" s="28"/>
      <c r="AF310" s="29"/>
      <c r="AG310" s="26"/>
      <c r="AH310" s="23"/>
      <c r="AI310" s="23"/>
      <c r="AJ310" s="23"/>
      <c r="AK310" s="23"/>
      <c r="AL310" s="23"/>
    </row>
    <row r="311" spans="1:39" ht="17.25" customHeight="1" x14ac:dyDescent="0.2">
      <c r="A311" s="50">
        <v>46296</v>
      </c>
      <c r="B311" s="41" t="s">
        <v>198</v>
      </c>
      <c r="C311" s="22">
        <f>C303+1</f>
        <v>40</v>
      </c>
      <c r="D311" s="4" t="s">
        <v>33</v>
      </c>
      <c r="E311" s="23"/>
      <c r="F311" s="32"/>
      <c r="G311" s="28"/>
      <c r="H311" s="30"/>
      <c r="I311" s="26"/>
      <c r="J311" s="23"/>
      <c r="K311" s="23"/>
      <c r="L311" s="23"/>
      <c r="M311" s="23"/>
      <c r="N311" s="23"/>
      <c r="P311" s="23"/>
      <c r="Q311" s="28"/>
      <c r="R311" s="32"/>
      <c r="S311" s="28"/>
      <c r="T311" s="74"/>
      <c r="U311" s="26"/>
      <c r="V311" s="23"/>
      <c r="W311" s="23"/>
      <c r="X311" s="23"/>
      <c r="Y311" s="23"/>
      <c r="Z311" s="23"/>
      <c r="AB311" s="23"/>
      <c r="AC311" s="28"/>
      <c r="AD311" s="32"/>
      <c r="AE311" s="28"/>
      <c r="AF311" s="68"/>
      <c r="AG311" s="26"/>
      <c r="AH311" s="23"/>
      <c r="AI311" s="23"/>
      <c r="AJ311" s="23"/>
      <c r="AK311" s="23"/>
      <c r="AL311" s="23"/>
    </row>
    <row r="312" spans="1:39" ht="17.25" customHeight="1" x14ac:dyDescent="0.2">
      <c r="A312" s="50">
        <v>46297</v>
      </c>
      <c r="B312" s="60"/>
      <c r="C312" s="33"/>
      <c r="D312" s="4" t="s">
        <v>35</v>
      </c>
      <c r="E312" s="23"/>
      <c r="F312" s="32"/>
      <c r="G312" s="28"/>
      <c r="H312" s="30"/>
      <c r="I312" s="26"/>
      <c r="J312" s="23"/>
      <c r="K312" s="23"/>
      <c r="L312" s="23"/>
      <c r="M312" s="23"/>
      <c r="N312" s="23"/>
      <c r="P312" s="23"/>
      <c r="Q312" s="28"/>
      <c r="R312" s="32"/>
      <c r="S312" s="28"/>
      <c r="T312" s="65"/>
      <c r="U312" s="26"/>
      <c r="V312" s="23"/>
      <c r="W312" s="23"/>
      <c r="X312" s="23"/>
      <c r="Y312" s="23"/>
      <c r="Z312" s="23"/>
      <c r="AB312" s="23"/>
      <c r="AC312" s="28"/>
      <c r="AD312" s="32"/>
      <c r="AE312" s="28"/>
      <c r="AF312" s="29"/>
      <c r="AG312" s="26"/>
      <c r="AH312" s="23"/>
      <c r="AI312" s="23"/>
      <c r="AJ312" s="23"/>
      <c r="AK312" s="23"/>
      <c r="AL312" s="23"/>
    </row>
    <row r="313" spans="1:39" ht="17.25" customHeight="1" x14ac:dyDescent="0.2">
      <c r="A313" s="50">
        <v>46298</v>
      </c>
      <c r="B313" s="60"/>
      <c r="C313" s="33"/>
      <c r="D313" s="4" t="s">
        <v>36</v>
      </c>
      <c r="E313" s="23"/>
      <c r="F313" s="32"/>
      <c r="G313" s="28"/>
      <c r="H313" s="30"/>
      <c r="I313" s="26"/>
      <c r="J313" s="23"/>
      <c r="K313" s="23"/>
      <c r="L313" s="23"/>
      <c r="M313" s="23"/>
      <c r="N313" s="23"/>
      <c r="O313" s="16"/>
      <c r="P313" s="23"/>
      <c r="Q313" s="28"/>
      <c r="R313" s="32"/>
      <c r="S313" s="58"/>
      <c r="T313" s="74"/>
      <c r="U313" s="26"/>
      <c r="V313" s="23"/>
      <c r="W313" s="23"/>
      <c r="X313" s="23"/>
      <c r="Y313" s="23"/>
      <c r="Z313" s="23"/>
      <c r="AB313" s="23"/>
      <c r="AC313" s="28"/>
      <c r="AD313" s="32"/>
      <c r="AE313" s="28"/>
      <c r="AF313" s="29"/>
      <c r="AG313" s="26"/>
      <c r="AH313" s="23"/>
      <c r="AI313" s="23"/>
      <c r="AJ313" s="23"/>
      <c r="AK313" s="23"/>
      <c r="AL313" s="23"/>
    </row>
    <row r="314" spans="1:39" ht="17.25" customHeight="1" x14ac:dyDescent="0.2">
      <c r="A314" s="50">
        <v>46299</v>
      </c>
      <c r="B314" s="60"/>
      <c r="C314" s="33"/>
      <c r="D314" s="4" t="s">
        <v>37</v>
      </c>
      <c r="E314" s="23"/>
      <c r="F314" s="32"/>
      <c r="G314" s="28"/>
      <c r="H314" s="29"/>
      <c r="I314" s="26"/>
      <c r="J314" s="23"/>
      <c r="K314" s="23"/>
      <c r="L314" s="23"/>
      <c r="M314" s="23"/>
      <c r="N314" s="23"/>
      <c r="O314" s="16"/>
      <c r="P314" s="23"/>
      <c r="Q314" s="28"/>
      <c r="R314" s="32"/>
      <c r="S314" s="28"/>
      <c r="T314" s="65"/>
      <c r="U314" s="26"/>
      <c r="V314" s="23"/>
      <c r="W314" s="23"/>
      <c r="X314" s="23"/>
      <c r="Y314" s="23"/>
      <c r="Z314" s="23"/>
      <c r="AB314" s="23"/>
      <c r="AC314" s="28"/>
      <c r="AD314" s="32"/>
      <c r="AE314" s="28"/>
      <c r="AF314" s="29"/>
      <c r="AG314" s="26"/>
      <c r="AH314" s="23"/>
      <c r="AI314" s="23"/>
      <c r="AJ314" s="23"/>
      <c r="AK314" s="23"/>
      <c r="AL314" s="23"/>
    </row>
    <row r="315" spans="1:39" ht="17.25" customHeight="1" x14ac:dyDescent="0.2">
      <c r="A315" s="48"/>
      <c r="B315" s="60"/>
      <c r="C315" s="77"/>
      <c r="D315" s="15"/>
      <c r="E315" s="14"/>
      <c r="F315" s="15"/>
      <c r="G315" s="16"/>
      <c r="H315" s="15"/>
      <c r="I315" s="17"/>
      <c r="J315" s="17"/>
      <c r="K315" s="17"/>
      <c r="L315" s="17"/>
      <c r="M315" s="17"/>
      <c r="N315" s="17"/>
      <c r="O315" s="15"/>
      <c r="P315" s="14"/>
      <c r="Q315" s="16"/>
      <c r="R315" s="15"/>
      <c r="S315" s="16"/>
      <c r="T315" s="15"/>
      <c r="U315" s="17"/>
      <c r="V315" s="17"/>
      <c r="W315" s="17"/>
      <c r="X315" s="17"/>
      <c r="Y315" s="17"/>
      <c r="Z315" s="17"/>
      <c r="AA315" s="15"/>
      <c r="AB315" s="14"/>
      <c r="AC315" s="16"/>
      <c r="AD315" s="15"/>
      <c r="AE315" s="16"/>
      <c r="AF315" s="15"/>
      <c r="AG315" s="17"/>
      <c r="AH315" s="17"/>
      <c r="AI315" s="17"/>
      <c r="AJ315" s="17"/>
      <c r="AK315" s="17"/>
      <c r="AL315" s="17"/>
      <c r="AM315" s="15"/>
    </row>
    <row r="316" spans="1:39" ht="17.25" customHeight="1" x14ac:dyDescent="0.2">
      <c r="A316" s="50">
        <v>46300</v>
      </c>
      <c r="B316" s="60"/>
      <c r="C316" s="33"/>
      <c r="D316" s="4" t="s">
        <v>19</v>
      </c>
      <c r="E316" s="23"/>
      <c r="F316" s="81" t="s">
        <v>42</v>
      </c>
      <c r="G316" s="24"/>
      <c r="H316" s="35" t="s">
        <v>199</v>
      </c>
      <c r="I316" s="26"/>
      <c r="J316" s="23"/>
      <c r="K316" s="23"/>
      <c r="L316" s="23"/>
      <c r="M316" s="23"/>
      <c r="N316" s="23"/>
      <c r="O316" s="16"/>
      <c r="P316" s="23"/>
      <c r="Q316" s="28"/>
      <c r="R316" s="32"/>
      <c r="S316" s="28"/>
      <c r="T316" s="74"/>
      <c r="U316" s="26"/>
      <c r="V316" s="23"/>
      <c r="W316" s="23"/>
      <c r="X316" s="23"/>
      <c r="Y316" s="23"/>
      <c r="Z316" s="23"/>
      <c r="AB316" s="23"/>
      <c r="AC316" s="28"/>
      <c r="AD316" s="32"/>
      <c r="AE316" s="28"/>
      <c r="AF316" s="29"/>
      <c r="AG316" s="26"/>
      <c r="AH316" s="23"/>
      <c r="AI316" s="23"/>
      <c r="AJ316" s="23"/>
      <c r="AK316" s="23"/>
      <c r="AL316" s="23"/>
    </row>
    <row r="317" spans="1:39" ht="17.25" customHeight="1" x14ac:dyDescent="0.2">
      <c r="A317" s="50">
        <v>46301</v>
      </c>
      <c r="B317" s="60"/>
      <c r="C317" s="33"/>
      <c r="D317" s="4" t="s">
        <v>27</v>
      </c>
      <c r="E317" s="23"/>
      <c r="F317" s="32"/>
      <c r="G317" s="28"/>
      <c r="H317" s="30"/>
      <c r="I317" s="26"/>
      <c r="J317" s="23"/>
      <c r="K317" s="23"/>
      <c r="L317" s="23"/>
      <c r="M317" s="23"/>
      <c r="N317" s="23"/>
      <c r="O317" s="16"/>
      <c r="P317" s="23"/>
      <c r="Q317" s="28"/>
      <c r="R317" s="32"/>
      <c r="S317" s="28"/>
      <c r="T317" s="88"/>
      <c r="U317" s="26"/>
      <c r="V317" s="23"/>
      <c r="W317" s="23"/>
      <c r="X317" s="23"/>
      <c r="Y317" s="23"/>
      <c r="Z317" s="23"/>
      <c r="AB317" s="23"/>
      <c r="AC317" s="28"/>
      <c r="AD317" s="32"/>
      <c r="AE317" s="28"/>
      <c r="AF317" s="29"/>
      <c r="AG317" s="26"/>
      <c r="AH317" s="23"/>
      <c r="AI317" s="23"/>
      <c r="AJ317" s="23"/>
      <c r="AK317" s="23"/>
      <c r="AL317" s="23"/>
    </row>
    <row r="318" spans="1:39" ht="17.25" customHeight="1" x14ac:dyDescent="0.2">
      <c r="A318" s="50">
        <v>46302</v>
      </c>
      <c r="B318" s="41"/>
      <c r="C318" s="33"/>
      <c r="D318" s="4" t="s">
        <v>31</v>
      </c>
      <c r="E318" s="23"/>
      <c r="F318" s="32"/>
      <c r="G318" s="28"/>
      <c r="H318" s="29"/>
      <c r="I318" s="26"/>
      <c r="J318" s="23"/>
      <c r="K318" s="23"/>
      <c r="L318" s="23"/>
      <c r="M318" s="23"/>
      <c r="N318" s="23"/>
      <c r="O318" s="16"/>
      <c r="P318" s="23"/>
      <c r="Q318" s="28"/>
      <c r="R318" s="32"/>
      <c r="S318" s="28"/>
      <c r="T318" s="74"/>
      <c r="U318" s="26"/>
      <c r="V318" s="23"/>
      <c r="W318" s="23"/>
      <c r="X318" s="23"/>
      <c r="Y318" s="23"/>
      <c r="Z318" s="23"/>
      <c r="AB318" s="23"/>
      <c r="AC318" s="28"/>
      <c r="AD318" s="32"/>
      <c r="AE318" s="28"/>
      <c r="AF318" s="29"/>
      <c r="AG318" s="26"/>
      <c r="AH318" s="23"/>
      <c r="AI318" s="23"/>
      <c r="AJ318" s="23"/>
      <c r="AK318" s="23"/>
      <c r="AL318" s="23"/>
    </row>
    <row r="319" spans="1:39" ht="17.25" customHeight="1" x14ac:dyDescent="0.2">
      <c r="A319" s="50">
        <v>46303</v>
      </c>
      <c r="B319" s="60"/>
      <c r="C319" s="22">
        <f>C311+1</f>
        <v>41</v>
      </c>
      <c r="D319" s="4" t="s">
        <v>33</v>
      </c>
      <c r="E319" s="23"/>
      <c r="F319" s="32"/>
      <c r="G319" s="28"/>
      <c r="H319" s="30"/>
      <c r="I319" s="26"/>
      <c r="J319" s="23"/>
      <c r="K319" s="23"/>
      <c r="L319" s="23"/>
      <c r="M319" s="23"/>
      <c r="N319" s="23"/>
      <c r="O319" s="16"/>
      <c r="P319" s="23"/>
      <c r="Q319" s="28"/>
      <c r="R319" s="32"/>
      <c r="S319" s="28"/>
      <c r="T319" s="74"/>
      <c r="U319" s="26"/>
      <c r="V319" s="23"/>
      <c r="W319" s="23"/>
      <c r="X319" s="23"/>
      <c r="Y319" s="23"/>
      <c r="Z319" s="23"/>
      <c r="AB319" s="23"/>
      <c r="AC319" s="28"/>
      <c r="AD319" s="32"/>
      <c r="AE319" s="28"/>
      <c r="AF319" s="29"/>
      <c r="AG319" s="26"/>
      <c r="AH319" s="23"/>
      <c r="AI319" s="23"/>
      <c r="AJ319" s="23"/>
      <c r="AK319" s="23"/>
      <c r="AL319" s="23"/>
    </row>
    <row r="320" spans="1:39" ht="17.25" customHeight="1" x14ac:dyDescent="0.2">
      <c r="A320" s="50">
        <v>46304</v>
      </c>
      <c r="B320" s="60"/>
      <c r="C320" s="33"/>
      <c r="D320" s="4" t="s">
        <v>35</v>
      </c>
      <c r="E320" s="23"/>
      <c r="F320" s="32"/>
      <c r="G320" s="28"/>
      <c r="H320" s="29"/>
      <c r="I320" s="26"/>
      <c r="J320" s="23"/>
      <c r="K320" s="23"/>
      <c r="L320" s="23"/>
      <c r="M320" s="23"/>
      <c r="N320" s="23"/>
      <c r="O320" s="16"/>
      <c r="P320" s="23"/>
      <c r="Q320" s="28"/>
      <c r="R320" s="32"/>
      <c r="S320" s="28"/>
      <c r="T320" s="65"/>
      <c r="U320" s="26"/>
      <c r="V320" s="23"/>
      <c r="W320" s="23"/>
      <c r="X320" s="23"/>
      <c r="Y320" s="23"/>
      <c r="Z320" s="23"/>
      <c r="AB320" s="23"/>
      <c r="AC320" s="28"/>
      <c r="AD320" s="32"/>
      <c r="AE320" s="28"/>
      <c r="AF320" s="29"/>
      <c r="AG320" s="26"/>
      <c r="AH320" s="23"/>
      <c r="AI320" s="23"/>
      <c r="AJ320" s="23"/>
      <c r="AK320" s="23"/>
      <c r="AL320" s="23"/>
    </row>
    <row r="321" spans="1:39" ht="17.25" customHeight="1" x14ac:dyDescent="0.2">
      <c r="A321" s="50">
        <v>46305</v>
      </c>
      <c r="B321" s="60"/>
      <c r="C321" s="33"/>
      <c r="D321" s="4" t="s">
        <v>36</v>
      </c>
      <c r="E321" s="23"/>
      <c r="F321" s="32"/>
      <c r="G321" s="28"/>
      <c r="H321" s="29"/>
      <c r="I321" s="26"/>
      <c r="J321" s="23"/>
      <c r="K321" s="23"/>
      <c r="L321" s="23"/>
      <c r="M321" s="23"/>
      <c r="N321" s="23"/>
      <c r="O321" s="16"/>
      <c r="P321" s="23"/>
      <c r="Q321" s="28"/>
      <c r="R321" s="32"/>
      <c r="S321" s="28"/>
      <c r="T321" s="74"/>
      <c r="U321" s="26"/>
      <c r="V321" s="23"/>
      <c r="W321" s="23"/>
      <c r="X321" s="23"/>
      <c r="Y321" s="23"/>
      <c r="Z321" s="23"/>
      <c r="AB321" s="23"/>
      <c r="AC321" s="28"/>
      <c r="AD321" s="32"/>
      <c r="AE321" s="28"/>
      <c r="AF321" s="29"/>
      <c r="AG321" s="26"/>
      <c r="AH321" s="23"/>
      <c r="AI321" s="23"/>
      <c r="AJ321" s="23"/>
      <c r="AK321" s="23"/>
      <c r="AL321" s="23"/>
    </row>
    <row r="322" spans="1:39" ht="17.25" customHeight="1" x14ac:dyDescent="0.2">
      <c r="A322" s="50">
        <v>46306</v>
      </c>
      <c r="B322" s="60"/>
      <c r="C322" s="33"/>
      <c r="D322" s="4" t="s">
        <v>37</v>
      </c>
      <c r="E322" s="23"/>
      <c r="F322" s="32"/>
      <c r="G322" s="28"/>
      <c r="H322" s="29"/>
      <c r="I322" s="26"/>
      <c r="J322" s="23"/>
      <c r="K322" s="23"/>
      <c r="L322" s="23"/>
      <c r="M322" s="23"/>
      <c r="N322" s="23"/>
      <c r="O322" s="16"/>
      <c r="P322" s="23"/>
      <c r="Q322" s="28"/>
      <c r="R322" s="32"/>
      <c r="S322" s="28"/>
      <c r="T322" s="65"/>
      <c r="U322" s="26"/>
      <c r="V322" s="23"/>
      <c r="W322" s="23"/>
      <c r="X322" s="23"/>
      <c r="Y322" s="23"/>
      <c r="Z322" s="23"/>
      <c r="AB322" s="23"/>
      <c r="AC322" s="28"/>
      <c r="AD322" s="32"/>
      <c r="AE322" s="28"/>
      <c r="AF322" s="29"/>
      <c r="AG322" s="26"/>
      <c r="AH322" s="23"/>
      <c r="AI322" s="23"/>
      <c r="AJ322" s="23"/>
      <c r="AK322" s="23"/>
      <c r="AL322" s="23"/>
    </row>
    <row r="323" spans="1:39" ht="17.25" customHeight="1" x14ac:dyDescent="0.2">
      <c r="A323" s="48"/>
      <c r="B323" s="60"/>
      <c r="C323" s="77"/>
      <c r="D323" s="15"/>
      <c r="E323" s="14"/>
      <c r="F323" s="15"/>
      <c r="G323" s="16"/>
      <c r="H323" s="15"/>
      <c r="I323" s="17"/>
      <c r="J323" s="17"/>
      <c r="K323" s="17"/>
      <c r="L323" s="17"/>
      <c r="M323" s="17"/>
      <c r="N323" s="17"/>
      <c r="O323" s="15"/>
      <c r="P323" s="14"/>
      <c r="Q323" s="16"/>
      <c r="R323" s="15"/>
      <c r="S323" s="16"/>
      <c r="T323" s="15"/>
      <c r="U323" s="17"/>
      <c r="V323" s="17"/>
      <c r="W323" s="17"/>
      <c r="X323" s="17"/>
      <c r="Y323" s="17"/>
      <c r="Z323" s="17"/>
      <c r="AA323" s="15"/>
      <c r="AB323" s="14"/>
      <c r="AC323" s="16"/>
      <c r="AD323" s="15"/>
      <c r="AE323" s="16"/>
      <c r="AF323" s="15"/>
      <c r="AG323" s="17"/>
      <c r="AH323" s="17"/>
      <c r="AI323" s="17"/>
      <c r="AJ323" s="17"/>
      <c r="AK323" s="17"/>
      <c r="AL323" s="17"/>
      <c r="AM323" s="15"/>
    </row>
    <row r="324" spans="1:39" ht="17.25" customHeight="1" x14ac:dyDescent="0.2">
      <c r="A324" s="50">
        <v>46307</v>
      </c>
      <c r="B324" s="60"/>
      <c r="C324" s="33"/>
      <c r="D324" s="4" t="s">
        <v>19</v>
      </c>
      <c r="E324" s="23"/>
      <c r="F324" s="32"/>
      <c r="G324" s="30"/>
      <c r="H324" s="30"/>
      <c r="I324" s="26"/>
      <c r="J324" s="23"/>
      <c r="K324" s="23"/>
      <c r="L324" s="23"/>
      <c r="M324" s="23"/>
      <c r="N324" s="23"/>
      <c r="O324" s="16"/>
      <c r="P324" s="23"/>
      <c r="Q324" s="28"/>
      <c r="R324" s="32"/>
      <c r="S324" s="28"/>
      <c r="T324" s="74"/>
      <c r="U324" s="26"/>
      <c r="V324" s="23"/>
      <c r="W324" s="23"/>
      <c r="X324" s="23"/>
      <c r="Y324" s="23"/>
      <c r="Z324" s="23"/>
      <c r="AB324" s="23"/>
      <c r="AC324" s="28"/>
      <c r="AD324" s="32"/>
      <c r="AE324" s="28"/>
      <c r="AF324" s="29"/>
      <c r="AG324" s="26"/>
      <c r="AH324" s="23"/>
      <c r="AI324" s="23"/>
      <c r="AJ324" s="23"/>
      <c r="AK324" s="23"/>
      <c r="AL324" s="23"/>
    </row>
    <row r="325" spans="1:39" ht="17.25" customHeight="1" x14ac:dyDescent="0.2">
      <c r="A325" s="50">
        <v>46308</v>
      </c>
      <c r="B325" s="60" t="s">
        <v>200</v>
      </c>
      <c r="C325" s="33"/>
      <c r="D325" s="4" t="s">
        <v>27</v>
      </c>
      <c r="E325" s="23"/>
      <c r="F325" s="32"/>
      <c r="G325" s="24"/>
      <c r="H325" s="35"/>
      <c r="I325" s="26"/>
      <c r="J325" s="23"/>
      <c r="K325" s="23"/>
      <c r="L325" s="23"/>
      <c r="M325" s="23"/>
      <c r="N325" s="23"/>
      <c r="O325" s="16"/>
      <c r="P325" s="23"/>
      <c r="Q325" s="28"/>
      <c r="R325" s="32"/>
      <c r="S325" s="28"/>
      <c r="T325" s="88"/>
      <c r="U325" s="26"/>
      <c r="V325" s="23"/>
      <c r="W325" s="23"/>
      <c r="X325" s="23"/>
      <c r="Y325" s="23"/>
      <c r="Z325" s="23"/>
      <c r="AB325" s="23"/>
      <c r="AC325" s="28"/>
      <c r="AD325" s="32"/>
      <c r="AE325" s="28"/>
      <c r="AF325" s="30"/>
      <c r="AG325" s="26"/>
      <c r="AH325" s="23"/>
      <c r="AI325" s="23"/>
      <c r="AJ325" s="23"/>
      <c r="AK325" s="23"/>
      <c r="AL325" s="23"/>
    </row>
    <row r="326" spans="1:39" ht="17.25" customHeight="1" x14ac:dyDescent="0.2">
      <c r="A326" s="50">
        <v>46309</v>
      </c>
      <c r="B326" s="60"/>
      <c r="C326" s="33"/>
      <c r="D326" s="4" t="s">
        <v>31</v>
      </c>
      <c r="E326" s="23"/>
      <c r="F326" s="32"/>
      <c r="G326" s="28"/>
      <c r="H326" s="30"/>
      <c r="I326" s="26"/>
      <c r="J326" s="23"/>
      <c r="K326" s="23"/>
      <c r="L326" s="23"/>
      <c r="M326" s="23"/>
      <c r="N326" s="23"/>
      <c r="O326" s="16"/>
      <c r="P326" s="23"/>
      <c r="Q326" s="28"/>
      <c r="R326" s="32"/>
      <c r="S326" s="58"/>
      <c r="T326" s="74"/>
      <c r="U326" s="26"/>
      <c r="V326" s="23"/>
      <c r="W326" s="23"/>
      <c r="X326" s="23"/>
      <c r="Y326" s="23"/>
      <c r="Z326" s="23"/>
      <c r="AB326" s="23"/>
      <c r="AC326" s="28"/>
      <c r="AD326" s="32"/>
      <c r="AE326" s="28"/>
      <c r="AF326" s="29"/>
      <c r="AG326" s="26"/>
      <c r="AH326" s="23"/>
      <c r="AI326" s="23"/>
      <c r="AJ326" s="23"/>
      <c r="AK326" s="23"/>
      <c r="AL326" s="23"/>
    </row>
    <row r="327" spans="1:39" ht="17.25" customHeight="1" x14ac:dyDescent="0.2">
      <c r="A327" s="50">
        <v>46310</v>
      </c>
      <c r="B327" s="60"/>
      <c r="C327" s="22">
        <f>C319+1</f>
        <v>42</v>
      </c>
      <c r="D327" s="4" t="s">
        <v>33</v>
      </c>
      <c r="E327" s="23"/>
      <c r="F327" s="32"/>
      <c r="G327" s="28"/>
      <c r="H327" s="29"/>
      <c r="I327" s="26"/>
      <c r="J327" s="23"/>
      <c r="K327" s="23"/>
      <c r="L327" s="23"/>
      <c r="M327" s="23"/>
      <c r="N327" s="23"/>
      <c r="O327" s="16"/>
      <c r="P327" s="23"/>
      <c r="Q327" s="28"/>
      <c r="R327" s="32"/>
      <c r="S327" s="28"/>
      <c r="T327" s="74"/>
      <c r="U327" s="26"/>
      <c r="V327" s="23"/>
      <c r="W327" s="23"/>
      <c r="X327" s="23"/>
      <c r="Y327" s="23"/>
      <c r="Z327" s="23"/>
      <c r="AB327" s="23"/>
      <c r="AC327" s="28"/>
      <c r="AD327" s="32"/>
      <c r="AE327" s="28"/>
      <c r="AF327" s="29"/>
      <c r="AG327" s="26"/>
      <c r="AH327" s="23"/>
      <c r="AI327" s="23"/>
      <c r="AJ327" s="23"/>
      <c r="AK327" s="23"/>
      <c r="AL327" s="23"/>
    </row>
    <row r="328" spans="1:39" ht="17.25" customHeight="1" x14ac:dyDescent="0.2">
      <c r="A328" s="50">
        <v>46311</v>
      </c>
      <c r="B328" s="60"/>
      <c r="C328" s="33"/>
      <c r="D328" s="4" t="s">
        <v>35</v>
      </c>
      <c r="E328" s="23"/>
      <c r="F328" s="32"/>
      <c r="G328" s="28"/>
      <c r="H328" s="30"/>
      <c r="I328" s="26"/>
      <c r="J328" s="23"/>
      <c r="K328" s="23"/>
      <c r="L328" s="23"/>
      <c r="M328" s="23"/>
      <c r="N328" s="23"/>
      <c r="O328" s="16"/>
      <c r="P328" s="23"/>
      <c r="Q328" s="28"/>
      <c r="R328" s="32"/>
      <c r="S328" s="28"/>
      <c r="T328" s="65"/>
      <c r="U328" s="26"/>
      <c r="V328" s="23"/>
      <c r="W328" s="23"/>
      <c r="X328" s="23"/>
      <c r="Y328" s="23"/>
      <c r="Z328" s="23"/>
      <c r="AB328" s="23"/>
      <c r="AC328" s="28"/>
      <c r="AD328" s="32"/>
      <c r="AE328" s="28"/>
      <c r="AF328" s="29"/>
      <c r="AG328" s="26"/>
      <c r="AH328" s="23"/>
      <c r="AI328" s="23"/>
      <c r="AJ328" s="23"/>
      <c r="AK328" s="23"/>
      <c r="AL328" s="23"/>
    </row>
    <row r="329" spans="1:39" ht="17.25" customHeight="1" x14ac:dyDescent="0.2">
      <c r="A329" s="50">
        <v>46312</v>
      </c>
      <c r="B329" s="60"/>
      <c r="C329" s="33"/>
      <c r="D329" s="4" t="s">
        <v>36</v>
      </c>
      <c r="E329" s="23"/>
      <c r="F329" s="32"/>
      <c r="G329" s="30"/>
      <c r="H329" s="30"/>
      <c r="I329" s="26"/>
      <c r="J329" s="23"/>
      <c r="K329" s="23"/>
      <c r="L329" s="23"/>
      <c r="M329" s="23"/>
      <c r="N329" s="23"/>
      <c r="P329" s="23"/>
      <c r="Q329" s="28"/>
      <c r="R329" s="32"/>
      <c r="S329" s="28"/>
      <c r="T329" s="74"/>
      <c r="U329" s="26"/>
      <c r="V329" s="23"/>
      <c r="W329" s="23"/>
      <c r="X329" s="23"/>
      <c r="Y329" s="23"/>
      <c r="Z329" s="23"/>
      <c r="AB329" s="23"/>
      <c r="AC329" s="28"/>
      <c r="AD329" s="32"/>
      <c r="AE329" s="28"/>
      <c r="AF329" s="29"/>
      <c r="AG329" s="26"/>
      <c r="AH329" s="23"/>
      <c r="AI329" s="23"/>
      <c r="AJ329" s="23"/>
      <c r="AK329" s="23"/>
      <c r="AL329" s="23"/>
    </row>
    <row r="330" spans="1:39" ht="17.25" customHeight="1" x14ac:dyDescent="0.2">
      <c r="A330" s="50">
        <v>46313</v>
      </c>
      <c r="B330" s="60"/>
      <c r="C330" s="33"/>
      <c r="D330" s="4" t="s">
        <v>37</v>
      </c>
      <c r="E330" s="23"/>
      <c r="F330" s="32"/>
      <c r="G330" s="28"/>
      <c r="H330" s="29"/>
      <c r="I330" s="26"/>
      <c r="J330" s="23"/>
      <c r="K330" s="23"/>
      <c r="L330" s="23"/>
      <c r="M330" s="23"/>
      <c r="N330" s="23"/>
      <c r="P330" s="23"/>
      <c r="Q330" s="28"/>
      <c r="R330" s="32"/>
      <c r="S330" s="28"/>
      <c r="T330" s="65"/>
      <c r="U330" s="26"/>
      <c r="V330" s="23"/>
      <c r="W330" s="23"/>
      <c r="X330" s="23"/>
      <c r="Y330" s="23"/>
      <c r="Z330" s="23"/>
      <c r="AB330" s="23"/>
      <c r="AC330" s="28"/>
      <c r="AD330" s="32"/>
      <c r="AE330" s="28"/>
      <c r="AF330" s="29"/>
      <c r="AG330" s="26"/>
      <c r="AH330" s="23"/>
      <c r="AI330" s="23"/>
      <c r="AJ330" s="23"/>
      <c r="AK330" s="23"/>
      <c r="AL330" s="23"/>
    </row>
    <row r="331" spans="1:39" ht="17.25" customHeight="1" x14ac:dyDescent="0.2">
      <c r="A331" s="48"/>
      <c r="B331" s="60"/>
      <c r="C331" s="77"/>
      <c r="D331" s="15"/>
      <c r="E331" s="14"/>
      <c r="F331" s="15"/>
      <c r="G331" s="16"/>
      <c r="H331" s="15"/>
      <c r="I331" s="17"/>
      <c r="J331" s="17"/>
      <c r="K331" s="17"/>
      <c r="L331" s="17"/>
      <c r="M331" s="17"/>
      <c r="N331" s="17"/>
      <c r="O331" s="15"/>
      <c r="P331" s="14"/>
      <c r="Q331" s="16"/>
      <c r="R331" s="15"/>
      <c r="S331" s="16"/>
      <c r="T331" s="15"/>
      <c r="U331" s="17"/>
      <c r="V331" s="17"/>
      <c r="W331" s="17"/>
      <c r="X331" s="17"/>
      <c r="Y331" s="17"/>
      <c r="Z331" s="17"/>
      <c r="AA331" s="15"/>
      <c r="AB331" s="14"/>
      <c r="AC331" s="16"/>
      <c r="AD331" s="15"/>
      <c r="AE331" s="16"/>
      <c r="AF331" s="15"/>
      <c r="AG331" s="17"/>
      <c r="AH331" s="17"/>
      <c r="AI331" s="17"/>
      <c r="AJ331" s="17"/>
      <c r="AK331" s="17"/>
      <c r="AL331" s="17"/>
      <c r="AM331" s="15"/>
    </row>
    <row r="332" spans="1:39" ht="17.25" customHeight="1" x14ac:dyDescent="0.2">
      <c r="A332" s="50">
        <v>46314</v>
      </c>
      <c r="B332" s="60"/>
      <c r="C332" s="33"/>
      <c r="D332" s="4" t="s">
        <v>19</v>
      </c>
      <c r="E332" s="23"/>
      <c r="F332" s="32"/>
      <c r="G332" s="28"/>
      <c r="H332" s="73"/>
      <c r="I332" s="26"/>
      <c r="J332" s="23"/>
      <c r="K332" s="23"/>
      <c r="L332" s="23"/>
      <c r="M332" s="23"/>
      <c r="N332" s="23"/>
      <c r="P332" s="23"/>
      <c r="Q332" s="28"/>
      <c r="R332" s="32"/>
      <c r="S332" s="28"/>
      <c r="T332" s="74"/>
      <c r="U332" s="26"/>
      <c r="V332" s="23"/>
      <c r="W332" s="23"/>
      <c r="X332" s="23"/>
      <c r="Y332" s="23"/>
      <c r="Z332" s="23"/>
      <c r="AB332" s="23"/>
      <c r="AC332" s="28"/>
      <c r="AD332" s="32"/>
      <c r="AE332" s="28"/>
      <c r="AF332" s="29"/>
      <c r="AG332" s="26"/>
      <c r="AH332" s="23"/>
      <c r="AI332" s="23"/>
      <c r="AJ332" s="23"/>
      <c r="AK332" s="23"/>
      <c r="AL332" s="23"/>
    </row>
    <row r="333" spans="1:39" ht="17.25" customHeight="1" x14ac:dyDescent="0.2">
      <c r="A333" s="50">
        <v>46315</v>
      </c>
      <c r="C333" s="33"/>
      <c r="D333" s="4" t="s">
        <v>27</v>
      </c>
      <c r="E333" s="23"/>
      <c r="F333" s="32"/>
      <c r="G333" s="28"/>
      <c r="H333" s="30"/>
      <c r="I333" s="26"/>
      <c r="J333" s="23"/>
      <c r="K333" s="23"/>
      <c r="L333" s="23"/>
      <c r="M333" s="23"/>
      <c r="N333" s="23"/>
      <c r="P333" s="23"/>
      <c r="Q333" s="28"/>
      <c r="R333" s="32"/>
      <c r="S333" s="28"/>
      <c r="T333" s="88"/>
      <c r="U333" s="26"/>
      <c r="V333" s="23"/>
      <c r="W333" s="23"/>
      <c r="X333" s="23"/>
      <c r="Y333" s="23"/>
      <c r="Z333" s="23"/>
      <c r="AB333" s="23"/>
      <c r="AC333" s="28"/>
      <c r="AD333" s="32"/>
      <c r="AE333" s="28"/>
      <c r="AF333" s="29"/>
      <c r="AG333" s="26"/>
      <c r="AH333" s="23"/>
      <c r="AI333" s="23"/>
      <c r="AJ333" s="23"/>
      <c r="AK333" s="23"/>
      <c r="AL333" s="23"/>
    </row>
    <row r="334" spans="1:39" ht="17.25" customHeight="1" x14ac:dyDescent="0.2">
      <c r="A334" s="50">
        <v>46316</v>
      </c>
      <c r="B334" s="60"/>
      <c r="C334" s="33"/>
      <c r="D334" s="4" t="s">
        <v>31</v>
      </c>
      <c r="E334" s="23"/>
      <c r="F334" s="32"/>
      <c r="G334" s="28"/>
      <c r="H334" s="30"/>
      <c r="I334" s="26"/>
      <c r="J334" s="23"/>
      <c r="K334" s="23"/>
      <c r="L334" s="23"/>
      <c r="M334" s="23"/>
      <c r="N334" s="23"/>
      <c r="P334" s="23"/>
      <c r="Q334" s="28"/>
      <c r="R334" s="32"/>
      <c r="S334" s="28"/>
      <c r="T334" s="74"/>
      <c r="U334" s="26"/>
      <c r="V334" s="23"/>
      <c r="W334" s="23"/>
      <c r="X334" s="23"/>
      <c r="Y334" s="23"/>
      <c r="Z334" s="23"/>
      <c r="AB334" s="23"/>
      <c r="AC334" s="28"/>
      <c r="AD334" s="32"/>
      <c r="AE334" s="58"/>
      <c r="AF334" s="59"/>
      <c r="AG334" s="26"/>
      <c r="AH334" s="23"/>
      <c r="AI334" s="23"/>
      <c r="AJ334" s="23"/>
      <c r="AK334" s="23"/>
      <c r="AL334" s="23"/>
    </row>
    <row r="335" spans="1:39" ht="17.25" customHeight="1" x14ac:dyDescent="0.2">
      <c r="A335" s="50">
        <v>46317</v>
      </c>
      <c r="B335" s="60"/>
      <c r="C335" s="22">
        <f>C327+1</f>
        <v>43</v>
      </c>
      <c r="D335" s="4" t="s">
        <v>33</v>
      </c>
      <c r="E335" s="23"/>
      <c r="F335" s="32"/>
      <c r="G335" s="28"/>
      <c r="H335" s="30"/>
      <c r="I335" s="26"/>
      <c r="J335" s="23"/>
      <c r="K335" s="23"/>
      <c r="L335" s="23"/>
      <c r="M335" s="23"/>
      <c r="N335" s="23"/>
      <c r="P335" s="23"/>
      <c r="Q335" s="28"/>
      <c r="R335" s="32"/>
      <c r="S335" s="28"/>
      <c r="T335" s="74"/>
      <c r="U335" s="26"/>
      <c r="V335" s="23"/>
      <c r="W335" s="23"/>
      <c r="X335" s="23"/>
      <c r="Y335" s="23"/>
      <c r="Z335" s="23"/>
      <c r="AB335" s="23"/>
      <c r="AC335" s="28"/>
      <c r="AD335" s="32"/>
      <c r="AE335" s="28"/>
      <c r="AF335" s="29"/>
      <c r="AG335" s="26"/>
      <c r="AH335" s="23"/>
      <c r="AI335" s="23"/>
      <c r="AJ335" s="23"/>
      <c r="AK335" s="23"/>
      <c r="AL335" s="23"/>
    </row>
    <row r="336" spans="1:39" ht="17.25" customHeight="1" x14ac:dyDescent="0.2">
      <c r="A336" s="50">
        <v>46318</v>
      </c>
      <c r="B336" s="60"/>
      <c r="C336" s="33"/>
      <c r="D336" s="4" t="s">
        <v>35</v>
      </c>
      <c r="E336" s="23"/>
      <c r="F336" s="32"/>
      <c r="G336" s="28"/>
      <c r="H336" s="101"/>
      <c r="I336" s="26"/>
      <c r="J336" s="23"/>
      <c r="K336" s="23"/>
      <c r="L336" s="23"/>
      <c r="M336" s="23"/>
      <c r="N336" s="23"/>
      <c r="P336" s="23"/>
      <c r="Q336" s="28"/>
      <c r="R336" s="32"/>
      <c r="S336" s="28"/>
      <c r="T336" s="65"/>
      <c r="U336" s="26"/>
      <c r="V336" s="23"/>
      <c r="W336" s="23"/>
      <c r="X336" s="23"/>
      <c r="Y336" s="23"/>
      <c r="Z336" s="23"/>
      <c r="AB336" s="23"/>
      <c r="AC336" s="28"/>
      <c r="AD336" s="32"/>
      <c r="AE336" s="28"/>
      <c r="AF336" s="29"/>
      <c r="AG336" s="26"/>
      <c r="AH336" s="23"/>
      <c r="AI336" s="23"/>
      <c r="AJ336" s="23"/>
      <c r="AK336" s="23"/>
      <c r="AL336" s="23"/>
    </row>
    <row r="337" spans="1:39" ht="17.25" customHeight="1" x14ac:dyDescent="0.2">
      <c r="A337" s="50">
        <v>46319</v>
      </c>
      <c r="B337" s="60"/>
      <c r="C337" s="33"/>
      <c r="D337" s="4" t="s">
        <v>36</v>
      </c>
      <c r="E337" s="23"/>
      <c r="F337" s="32"/>
      <c r="G337" s="28"/>
      <c r="H337" s="30"/>
      <c r="I337" s="26"/>
      <c r="J337" s="23"/>
      <c r="K337" s="23"/>
      <c r="L337" s="23"/>
      <c r="M337" s="23"/>
      <c r="N337" s="23"/>
      <c r="P337" s="23"/>
      <c r="Q337" s="28"/>
      <c r="R337" s="32"/>
      <c r="S337" s="28"/>
      <c r="T337" s="74"/>
      <c r="U337" s="26"/>
      <c r="V337" s="23"/>
      <c r="W337" s="23"/>
      <c r="X337" s="23"/>
      <c r="Y337" s="23"/>
      <c r="Z337" s="23"/>
      <c r="AB337" s="23"/>
      <c r="AC337" s="28"/>
      <c r="AD337" s="32"/>
      <c r="AE337" s="28"/>
      <c r="AF337" s="29"/>
      <c r="AG337" s="26"/>
      <c r="AH337" s="23"/>
      <c r="AI337" s="23"/>
      <c r="AJ337" s="23"/>
      <c r="AK337" s="23"/>
      <c r="AL337" s="23"/>
    </row>
    <row r="338" spans="1:39" ht="17.25" customHeight="1" x14ac:dyDescent="0.2">
      <c r="A338" s="50">
        <v>46320</v>
      </c>
      <c r="B338" s="60"/>
      <c r="C338" s="33"/>
      <c r="D338" s="4" t="s">
        <v>37</v>
      </c>
      <c r="E338" s="23"/>
      <c r="F338" s="32"/>
      <c r="G338" s="37"/>
      <c r="H338" s="30"/>
      <c r="I338" s="26"/>
      <c r="J338" s="23"/>
      <c r="K338" s="23"/>
      <c r="L338" s="23"/>
      <c r="M338" s="23"/>
      <c r="N338" s="23"/>
      <c r="P338" s="23"/>
      <c r="Q338" s="28"/>
      <c r="R338" s="32"/>
      <c r="S338" s="28"/>
      <c r="T338" s="65"/>
      <c r="U338" s="26"/>
      <c r="V338" s="23"/>
      <c r="W338" s="23"/>
      <c r="X338" s="23"/>
      <c r="Y338" s="23"/>
      <c r="Z338" s="23"/>
      <c r="AB338" s="23"/>
      <c r="AC338" s="28"/>
      <c r="AD338" s="32"/>
      <c r="AE338" s="28"/>
      <c r="AF338" s="29"/>
      <c r="AG338" s="26"/>
      <c r="AH338" s="23"/>
      <c r="AI338" s="23"/>
      <c r="AJ338" s="23"/>
      <c r="AK338" s="23"/>
      <c r="AL338" s="23"/>
    </row>
    <row r="339" spans="1:39" ht="17.25" customHeight="1" x14ac:dyDescent="0.2">
      <c r="A339" s="48"/>
      <c r="B339" s="60"/>
      <c r="C339" s="77"/>
      <c r="D339" s="15"/>
      <c r="E339" s="14"/>
      <c r="F339" s="15"/>
      <c r="G339" s="16"/>
      <c r="H339" s="15"/>
      <c r="I339" s="17"/>
      <c r="J339" s="17"/>
      <c r="K339" s="17"/>
      <c r="L339" s="17"/>
      <c r="M339" s="17"/>
      <c r="N339" s="17"/>
      <c r="O339" s="15"/>
      <c r="P339" s="14"/>
      <c r="Q339" s="16"/>
      <c r="R339" s="15"/>
      <c r="S339" s="16"/>
      <c r="T339" s="15"/>
      <c r="U339" s="17"/>
      <c r="V339" s="17"/>
      <c r="W339" s="17"/>
      <c r="X339" s="17"/>
      <c r="Y339" s="17"/>
      <c r="Z339" s="17"/>
      <c r="AA339" s="15"/>
      <c r="AB339" s="14"/>
      <c r="AC339" s="16"/>
      <c r="AD339" s="15"/>
      <c r="AE339" s="16"/>
      <c r="AF339" s="15"/>
      <c r="AG339" s="17"/>
      <c r="AH339" s="17"/>
      <c r="AI339" s="17"/>
      <c r="AJ339" s="17"/>
      <c r="AK339" s="17"/>
      <c r="AL339" s="17"/>
      <c r="AM339" s="15"/>
    </row>
    <row r="340" spans="1:39" ht="17.25" customHeight="1" x14ac:dyDescent="0.2">
      <c r="A340" s="50">
        <v>46321</v>
      </c>
      <c r="B340" s="60"/>
      <c r="C340" s="33"/>
      <c r="D340" s="4" t="s">
        <v>19</v>
      </c>
      <c r="E340" s="23"/>
      <c r="F340" s="32"/>
      <c r="G340" s="28"/>
      <c r="H340" s="30"/>
      <c r="I340" s="26"/>
      <c r="J340" s="23"/>
      <c r="K340" s="23"/>
      <c r="L340" s="23"/>
      <c r="M340" s="23"/>
      <c r="N340" s="23"/>
      <c r="P340" s="23"/>
      <c r="Q340" s="28"/>
      <c r="R340" s="32"/>
      <c r="S340" s="28"/>
      <c r="T340" s="74"/>
      <c r="U340" s="26"/>
      <c r="V340" s="23"/>
      <c r="W340" s="23"/>
      <c r="X340" s="23"/>
      <c r="Y340" s="23"/>
      <c r="Z340" s="23"/>
      <c r="AB340" s="23"/>
      <c r="AC340" s="28"/>
      <c r="AD340" s="32"/>
      <c r="AE340" s="28"/>
      <c r="AF340" s="29"/>
      <c r="AG340" s="26"/>
      <c r="AH340" s="23"/>
      <c r="AI340" s="23"/>
      <c r="AJ340" s="23"/>
      <c r="AK340" s="23"/>
      <c r="AL340" s="23"/>
    </row>
    <row r="341" spans="1:39" ht="17.25" customHeight="1" x14ac:dyDescent="0.2">
      <c r="A341" s="50">
        <v>46322</v>
      </c>
      <c r="B341" s="60"/>
      <c r="C341" s="33"/>
      <c r="D341" s="4" t="s">
        <v>27</v>
      </c>
      <c r="E341" s="23"/>
      <c r="F341" s="32"/>
      <c r="G341" s="28"/>
      <c r="H341" s="29"/>
      <c r="I341" s="26"/>
      <c r="J341" s="23"/>
      <c r="K341" s="23"/>
      <c r="L341" s="23"/>
      <c r="M341" s="23"/>
      <c r="N341" s="23"/>
      <c r="P341" s="23"/>
      <c r="Q341" s="28"/>
      <c r="R341" s="32"/>
      <c r="S341" s="28"/>
      <c r="T341" s="88"/>
      <c r="U341" s="26"/>
      <c r="V341" s="23"/>
      <c r="W341" s="23"/>
      <c r="X341" s="23"/>
      <c r="Y341" s="23"/>
      <c r="Z341" s="23"/>
      <c r="AB341" s="23"/>
      <c r="AC341" s="28"/>
      <c r="AD341" s="32"/>
      <c r="AE341" s="28"/>
      <c r="AF341" s="29"/>
      <c r="AG341" s="26"/>
      <c r="AH341" s="23"/>
      <c r="AI341" s="23"/>
      <c r="AJ341" s="23"/>
      <c r="AK341" s="23"/>
      <c r="AL341" s="23"/>
    </row>
    <row r="342" spans="1:39" ht="17.25" customHeight="1" x14ac:dyDescent="0.2">
      <c r="A342" s="50">
        <v>46323</v>
      </c>
      <c r="B342" s="60"/>
      <c r="C342" s="33"/>
      <c r="D342" s="4" t="s">
        <v>31</v>
      </c>
      <c r="E342" s="23"/>
      <c r="F342" s="32"/>
      <c r="G342" s="28"/>
      <c r="H342" s="29"/>
      <c r="I342" s="26"/>
      <c r="J342" s="23"/>
      <c r="K342" s="23"/>
      <c r="L342" s="23"/>
      <c r="M342" s="23"/>
      <c r="N342" s="23"/>
      <c r="P342" s="23"/>
      <c r="Q342" s="28"/>
      <c r="R342" s="32"/>
      <c r="S342" s="28"/>
      <c r="T342" s="74"/>
      <c r="U342" s="26"/>
      <c r="V342" s="23"/>
      <c r="W342" s="23"/>
      <c r="X342" s="23"/>
      <c r="Y342" s="23"/>
      <c r="Z342" s="23"/>
      <c r="AB342" s="23"/>
      <c r="AC342" s="28"/>
      <c r="AD342" s="32"/>
      <c r="AE342" s="58"/>
      <c r="AF342" s="59"/>
      <c r="AG342" s="26"/>
      <c r="AH342" s="23"/>
      <c r="AI342" s="23"/>
      <c r="AJ342" s="23"/>
      <c r="AK342" s="23"/>
      <c r="AL342" s="23"/>
    </row>
    <row r="343" spans="1:39" ht="17.25" customHeight="1" x14ac:dyDescent="0.2">
      <c r="A343" s="50">
        <v>46324</v>
      </c>
      <c r="B343" s="60"/>
      <c r="C343" s="22">
        <f>C335+1</f>
        <v>44</v>
      </c>
      <c r="D343" s="4" t="s">
        <v>33</v>
      </c>
      <c r="E343" s="23"/>
      <c r="F343" s="32"/>
      <c r="G343" s="28"/>
      <c r="H343" s="30"/>
      <c r="I343" s="26"/>
      <c r="J343" s="23"/>
      <c r="K343" s="23"/>
      <c r="L343" s="23"/>
      <c r="M343" s="23"/>
      <c r="N343" s="23"/>
      <c r="P343" s="23"/>
      <c r="Q343" s="28"/>
      <c r="R343" s="32"/>
      <c r="S343" s="28"/>
      <c r="T343" s="74"/>
      <c r="U343" s="26"/>
      <c r="V343" s="23"/>
      <c r="W343" s="23"/>
      <c r="X343" s="23"/>
      <c r="Y343" s="23"/>
      <c r="Z343" s="23"/>
      <c r="AB343" s="23"/>
      <c r="AC343" s="28"/>
      <c r="AD343" s="32"/>
      <c r="AE343" s="28"/>
      <c r="AF343" s="29"/>
      <c r="AG343" s="26"/>
      <c r="AH343" s="23"/>
      <c r="AI343" s="23"/>
      <c r="AJ343" s="23"/>
      <c r="AK343" s="23"/>
      <c r="AL343" s="23"/>
    </row>
    <row r="344" spans="1:39" ht="17.25" customHeight="1" x14ac:dyDescent="0.2">
      <c r="A344" s="50">
        <v>46325</v>
      </c>
      <c r="B344" s="60"/>
      <c r="C344" s="33"/>
      <c r="D344" s="4" t="s">
        <v>35</v>
      </c>
      <c r="E344" s="23"/>
      <c r="F344" s="32"/>
      <c r="G344" s="28"/>
      <c r="H344" s="30"/>
      <c r="I344" s="26"/>
      <c r="J344" s="23"/>
      <c r="K344" s="23"/>
      <c r="L344" s="23"/>
      <c r="M344" s="23"/>
      <c r="N344" s="23"/>
      <c r="P344" s="23"/>
      <c r="Q344" s="28"/>
      <c r="R344" s="32"/>
      <c r="S344" s="28"/>
      <c r="T344" s="65"/>
      <c r="U344" s="26"/>
      <c r="V344" s="23"/>
      <c r="W344" s="23"/>
      <c r="X344" s="23"/>
      <c r="Y344" s="23"/>
      <c r="Z344" s="23"/>
      <c r="AB344" s="23"/>
      <c r="AC344" s="28"/>
      <c r="AD344" s="32"/>
      <c r="AE344" s="28"/>
      <c r="AF344" s="29"/>
      <c r="AG344" s="26"/>
      <c r="AH344" s="23"/>
      <c r="AI344" s="23"/>
      <c r="AJ344" s="23"/>
      <c r="AK344" s="23"/>
      <c r="AL344" s="23"/>
    </row>
    <row r="345" spans="1:39" ht="17.25" customHeight="1" x14ac:dyDescent="0.2">
      <c r="A345" s="50">
        <v>46326</v>
      </c>
      <c r="B345" s="60"/>
      <c r="C345" s="33"/>
      <c r="D345" s="4" t="s">
        <v>36</v>
      </c>
      <c r="E345" s="23"/>
      <c r="F345" s="32"/>
      <c r="G345" s="28"/>
      <c r="H345" s="30"/>
      <c r="I345" s="26"/>
      <c r="J345" s="23"/>
      <c r="K345" s="23"/>
      <c r="L345" s="23"/>
      <c r="M345" s="23"/>
      <c r="N345" s="23"/>
      <c r="O345" s="16"/>
      <c r="P345" s="23"/>
      <c r="Q345" s="28"/>
      <c r="R345" s="32"/>
      <c r="S345" s="28"/>
      <c r="T345" s="74"/>
      <c r="U345" s="26"/>
      <c r="V345" s="23"/>
      <c r="W345" s="23"/>
      <c r="X345" s="23"/>
      <c r="Y345" s="23"/>
      <c r="Z345" s="23"/>
      <c r="AB345" s="23"/>
      <c r="AC345" s="28"/>
      <c r="AD345" s="32"/>
      <c r="AE345" s="28"/>
      <c r="AF345" s="29"/>
      <c r="AG345" s="26"/>
      <c r="AH345" s="23"/>
      <c r="AI345" s="23"/>
      <c r="AJ345" s="23"/>
      <c r="AK345" s="23"/>
      <c r="AL345" s="23"/>
    </row>
    <row r="346" spans="1:39" ht="17.25" customHeight="1" x14ac:dyDescent="0.2">
      <c r="A346" s="50">
        <v>46327</v>
      </c>
      <c r="B346" s="41"/>
      <c r="C346" s="33"/>
      <c r="D346" s="4" t="s">
        <v>37</v>
      </c>
      <c r="E346" s="23"/>
      <c r="F346" s="32"/>
      <c r="G346" s="28"/>
      <c r="H346" s="29"/>
      <c r="I346" s="26"/>
      <c r="J346" s="23"/>
      <c r="K346" s="23"/>
      <c r="L346" s="23"/>
      <c r="M346" s="23"/>
      <c r="N346" s="23"/>
      <c r="O346" s="16"/>
      <c r="P346" s="23"/>
      <c r="Q346" s="28"/>
      <c r="R346" s="32"/>
      <c r="S346" s="28"/>
      <c r="T346" s="65"/>
      <c r="U346" s="26"/>
      <c r="V346" s="23"/>
      <c r="W346" s="23"/>
      <c r="X346" s="23"/>
      <c r="Y346" s="23"/>
      <c r="Z346" s="23"/>
      <c r="AB346" s="23"/>
      <c r="AC346" s="28"/>
      <c r="AD346" s="32"/>
      <c r="AE346" s="28"/>
      <c r="AF346" s="29"/>
      <c r="AG346" s="26"/>
      <c r="AH346" s="23"/>
      <c r="AI346" s="23"/>
      <c r="AJ346" s="23"/>
      <c r="AK346" s="23"/>
      <c r="AL346" s="23"/>
    </row>
    <row r="347" spans="1:39" ht="17.25" customHeight="1" x14ac:dyDescent="0.2">
      <c r="A347" s="48"/>
      <c r="B347" s="60"/>
      <c r="C347" s="77"/>
      <c r="D347" s="15"/>
      <c r="E347" s="14"/>
      <c r="F347" s="15"/>
      <c r="G347" s="16"/>
      <c r="H347" s="15"/>
      <c r="I347" s="17"/>
      <c r="J347" s="17"/>
      <c r="K347" s="17"/>
      <c r="L347" s="17"/>
      <c r="M347" s="17"/>
      <c r="N347" s="17"/>
      <c r="O347" s="15"/>
      <c r="P347" s="14"/>
      <c r="Q347" s="16"/>
      <c r="R347" s="15"/>
      <c r="S347" s="16"/>
      <c r="T347" s="15"/>
      <c r="U347" s="17"/>
      <c r="V347" s="17"/>
      <c r="W347" s="17"/>
      <c r="X347" s="17"/>
      <c r="Y347" s="17"/>
      <c r="Z347" s="17"/>
      <c r="AA347" s="15"/>
      <c r="AB347" s="14"/>
      <c r="AC347" s="16"/>
      <c r="AD347" s="15"/>
      <c r="AE347" s="16"/>
      <c r="AF347" s="15"/>
      <c r="AG347" s="17"/>
      <c r="AH347" s="17"/>
      <c r="AI347" s="17"/>
      <c r="AJ347" s="17"/>
      <c r="AK347" s="17"/>
      <c r="AL347" s="17"/>
      <c r="AM347" s="15"/>
    </row>
    <row r="348" spans="1:39" ht="17.25" customHeight="1" x14ac:dyDescent="0.2">
      <c r="A348" s="50">
        <v>46328</v>
      </c>
      <c r="B348" s="60" t="s">
        <v>201</v>
      </c>
      <c r="C348" s="33"/>
      <c r="D348" s="4" t="s">
        <v>19</v>
      </c>
      <c r="E348" s="23"/>
      <c r="F348" s="32"/>
      <c r="G348" s="28"/>
      <c r="H348" s="29"/>
      <c r="I348" s="26"/>
      <c r="J348" s="23"/>
      <c r="K348" s="23"/>
      <c r="L348" s="23"/>
      <c r="M348" s="23"/>
      <c r="N348" s="23"/>
      <c r="O348" s="16"/>
      <c r="P348" s="23"/>
      <c r="Q348" s="28"/>
      <c r="R348" s="32"/>
      <c r="S348" s="28"/>
      <c r="T348" s="74"/>
      <c r="U348" s="26"/>
      <c r="V348" s="23"/>
      <c r="W348" s="23"/>
      <c r="X348" s="23"/>
      <c r="Y348" s="23"/>
      <c r="Z348" s="23"/>
      <c r="AB348" s="23"/>
      <c r="AC348" s="28"/>
      <c r="AD348" s="32"/>
      <c r="AE348" s="28"/>
      <c r="AF348" s="29"/>
      <c r="AG348" s="26"/>
      <c r="AH348" s="23"/>
      <c r="AI348" s="23"/>
      <c r="AJ348" s="23"/>
      <c r="AK348" s="23"/>
      <c r="AL348" s="23"/>
    </row>
    <row r="349" spans="1:39" ht="17.25" customHeight="1" x14ac:dyDescent="0.2">
      <c r="A349" s="50">
        <v>46329</v>
      </c>
      <c r="B349" s="60"/>
      <c r="C349" s="33"/>
      <c r="D349" s="4" t="s">
        <v>27</v>
      </c>
      <c r="E349" s="23"/>
      <c r="F349" s="32"/>
      <c r="G349" s="28"/>
      <c r="H349" s="85"/>
      <c r="I349" s="26"/>
      <c r="J349" s="23"/>
      <c r="K349" s="23"/>
      <c r="L349" s="23"/>
      <c r="M349" s="23"/>
      <c r="N349" s="23"/>
      <c r="O349" s="16"/>
      <c r="P349" s="23"/>
      <c r="Q349" s="28"/>
      <c r="R349" s="32"/>
      <c r="S349" s="28"/>
      <c r="T349" s="88"/>
      <c r="U349" s="26"/>
      <c r="V349" s="23"/>
      <c r="W349" s="23"/>
      <c r="X349" s="23"/>
      <c r="Y349" s="23"/>
      <c r="Z349" s="23"/>
      <c r="AB349" s="23"/>
      <c r="AC349" s="28"/>
      <c r="AD349" s="32"/>
      <c r="AE349" s="28"/>
      <c r="AF349" s="29"/>
      <c r="AG349" s="26"/>
      <c r="AH349" s="23"/>
      <c r="AI349" s="23"/>
      <c r="AJ349" s="23"/>
      <c r="AK349" s="23"/>
      <c r="AL349" s="23"/>
    </row>
    <row r="350" spans="1:39" ht="17.25" customHeight="1" x14ac:dyDescent="0.2">
      <c r="A350" s="50">
        <v>46330</v>
      </c>
      <c r="B350" s="60"/>
      <c r="C350" s="33"/>
      <c r="D350" s="4" t="s">
        <v>31</v>
      </c>
      <c r="E350" s="23"/>
      <c r="F350" s="32"/>
      <c r="G350" s="28"/>
      <c r="H350" s="30"/>
      <c r="I350" s="26"/>
      <c r="J350" s="23"/>
      <c r="K350" s="23"/>
      <c r="L350" s="23"/>
      <c r="M350" s="23"/>
      <c r="N350" s="23"/>
      <c r="O350" s="16"/>
      <c r="P350" s="23"/>
      <c r="Q350" s="28"/>
      <c r="R350" s="32"/>
      <c r="S350" s="28"/>
      <c r="T350" s="74"/>
      <c r="U350" s="26"/>
      <c r="V350" s="23"/>
      <c r="W350" s="23"/>
      <c r="X350" s="23"/>
      <c r="Y350" s="23"/>
      <c r="Z350" s="23"/>
      <c r="AB350" s="23"/>
      <c r="AC350" s="28"/>
      <c r="AD350" s="32"/>
      <c r="AE350" s="58"/>
      <c r="AF350" s="59"/>
      <c r="AG350" s="26"/>
      <c r="AH350" s="23"/>
      <c r="AI350" s="23"/>
      <c r="AJ350" s="23"/>
      <c r="AK350" s="23"/>
      <c r="AL350" s="23"/>
    </row>
    <row r="351" spans="1:39" ht="17.25" customHeight="1" x14ac:dyDescent="0.2">
      <c r="A351" s="50">
        <v>46331</v>
      </c>
      <c r="B351" s="60"/>
      <c r="C351" s="22">
        <f>C343+1</f>
        <v>45</v>
      </c>
      <c r="D351" s="4" t="s">
        <v>33</v>
      </c>
      <c r="E351" s="23"/>
      <c r="F351" s="32"/>
      <c r="G351" s="28"/>
      <c r="H351" s="30"/>
      <c r="I351" s="26"/>
      <c r="J351" s="23"/>
      <c r="K351" s="23"/>
      <c r="L351" s="23"/>
      <c r="M351" s="23"/>
      <c r="N351" s="23"/>
      <c r="O351" s="16"/>
      <c r="P351" s="23"/>
      <c r="Q351" s="28"/>
      <c r="R351" s="32"/>
      <c r="S351" s="28"/>
      <c r="T351" s="74"/>
      <c r="U351" s="26"/>
      <c r="V351" s="23"/>
      <c r="W351" s="23"/>
      <c r="X351" s="23"/>
      <c r="Y351" s="23"/>
      <c r="Z351" s="23"/>
      <c r="AB351" s="23"/>
      <c r="AC351" s="28"/>
      <c r="AD351" s="32"/>
      <c r="AE351" s="28"/>
      <c r="AF351" s="29"/>
      <c r="AG351" s="26"/>
      <c r="AH351" s="23"/>
      <c r="AI351" s="23"/>
      <c r="AJ351" s="23"/>
      <c r="AK351" s="23"/>
      <c r="AL351" s="23"/>
    </row>
    <row r="352" spans="1:39" ht="17.25" customHeight="1" x14ac:dyDescent="0.2">
      <c r="A352" s="50">
        <v>46332</v>
      </c>
      <c r="B352" s="60"/>
      <c r="C352" s="33"/>
      <c r="D352" s="4" t="s">
        <v>35</v>
      </c>
      <c r="E352" s="23"/>
      <c r="F352" s="32"/>
      <c r="G352" s="28"/>
      <c r="H352" s="30"/>
      <c r="I352" s="26"/>
      <c r="J352" s="23"/>
      <c r="K352" s="23"/>
      <c r="L352" s="23"/>
      <c r="M352" s="23"/>
      <c r="N352" s="23"/>
      <c r="O352" s="16"/>
      <c r="P352" s="23"/>
      <c r="Q352" s="28"/>
      <c r="R352" s="32"/>
      <c r="S352" s="28"/>
      <c r="T352" s="65"/>
      <c r="U352" s="26"/>
      <c r="V352" s="23"/>
      <c r="W352" s="23"/>
      <c r="X352" s="23"/>
      <c r="Y352" s="23"/>
      <c r="Z352" s="23"/>
      <c r="AB352" s="23"/>
      <c r="AC352" s="28"/>
      <c r="AD352" s="32"/>
      <c r="AE352" s="28"/>
      <c r="AF352" s="29"/>
      <c r="AG352" s="26"/>
      <c r="AH352" s="23"/>
      <c r="AI352" s="23"/>
      <c r="AJ352" s="23"/>
      <c r="AK352" s="23"/>
      <c r="AL352" s="23"/>
    </row>
    <row r="353" spans="1:39" ht="17.25" customHeight="1" x14ac:dyDescent="0.2">
      <c r="A353" s="50">
        <v>46333</v>
      </c>
      <c r="B353" s="41"/>
      <c r="C353" s="33"/>
      <c r="D353" s="4" t="s">
        <v>36</v>
      </c>
      <c r="E353" s="23"/>
      <c r="F353" s="32"/>
      <c r="G353" s="28"/>
      <c r="H353" s="30"/>
      <c r="I353" s="26"/>
      <c r="J353" s="23"/>
      <c r="K353" s="23"/>
      <c r="L353" s="23"/>
      <c r="M353" s="23"/>
      <c r="N353" s="23"/>
      <c r="O353" s="16"/>
      <c r="P353" s="23"/>
      <c r="Q353" s="28"/>
      <c r="R353" s="32"/>
      <c r="S353" s="28"/>
      <c r="T353" s="74"/>
      <c r="U353" s="26"/>
      <c r="V353" s="23"/>
      <c r="W353" s="23"/>
      <c r="X353" s="23"/>
      <c r="Y353" s="23"/>
      <c r="Z353" s="23"/>
      <c r="AB353" s="23"/>
      <c r="AC353" s="28"/>
      <c r="AD353" s="32"/>
      <c r="AE353" s="28"/>
      <c r="AF353" s="29"/>
      <c r="AG353" s="26"/>
      <c r="AH353" s="23"/>
      <c r="AI353" s="23"/>
      <c r="AJ353" s="23"/>
      <c r="AK353" s="23"/>
      <c r="AL353" s="23"/>
    </row>
    <row r="354" spans="1:39" ht="17.25" customHeight="1" x14ac:dyDescent="0.2">
      <c r="A354" s="50">
        <v>46334</v>
      </c>
      <c r="B354" s="60"/>
      <c r="C354" s="33"/>
      <c r="D354" s="4" t="s">
        <v>37</v>
      </c>
      <c r="E354" s="23"/>
      <c r="F354" s="32"/>
      <c r="G354" s="28"/>
      <c r="H354" s="29"/>
      <c r="I354" s="26"/>
      <c r="J354" s="23"/>
      <c r="K354" s="23"/>
      <c r="L354" s="23"/>
      <c r="M354" s="23"/>
      <c r="N354" s="23"/>
      <c r="O354" s="16"/>
      <c r="P354" s="23"/>
      <c r="Q354" s="28"/>
      <c r="R354" s="32"/>
      <c r="S354" s="28"/>
      <c r="T354" s="65"/>
      <c r="U354" s="26"/>
      <c r="V354" s="23"/>
      <c r="W354" s="23"/>
      <c r="X354" s="23"/>
      <c r="Y354" s="23"/>
      <c r="Z354" s="23"/>
      <c r="AB354" s="23"/>
      <c r="AC354" s="28"/>
      <c r="AD354" s="32"/>
      <c r="AE354" s="28"/>
      <c r="AF354" s="29"/>
      <c r="AG354" s="26"/>
      <c r="AH354" s="23"/>
      <c r="AI354" s="23"/>
      <c r="AJ354" s="23"/>
      <c r="AK354" s="23"/>
      <c r="AL354" s="23"/>
    </row>
    <row r="355" spans="1:39" ht="17.25" customHeight="1" x14ac:dyDescent="0.2">
      <c r="A355" s="48"/>
      <c r="B355" s="60"/>
      <c r="C355" s="77"/>
      <c r="D355" s="15"/>
      <c r="E355" s="14"/>
      <c r="F355" s="15"/>
      <c r="G355" s="16"/>
      <c r="H355" s="15"/>
      <c r="I355" s="17"/>
      <c r="J355" s="17"/>
      <c r="K355" s="17"/>
      <c r="L355" s="17"/>
      <c r="M355" s="17"/>
      <c r="N355" s="17"/>
      <c r="O355" s="15"/>
      <c r="P355" s="14"/>
      <c r="Q355" s="16"/>
      <c r="R355" s="15"/>
      <c r="S355" s="16"/>
      <c r="T355" s="15"/>
      <c r="U355" s="17"/>
      <c r="V355" s="17"/>
      <c r="W355" s="17"/>
      <c r="X355" s="17"/>
      <c r="Y355" s="17"/>
      <c r="Z355" s="17"/>
      <c r="AA355" s="15"/>
      <c r="AB355" s="14"/>
      <c r="AC355" s="16"/>
      <c r="AD355" s="15"/>
      <c r="AE355" s="16"/>
      <c r="AF355" s="15"/>
      <c r="AG355" s="17"/>
      <c r="AH355" s="17"/>
      <c r="AI355" s="17"/>
      <c r="AJ355" s="17"/>
      <c r="AK355" s="17"/>
      <c r="AL355" s="17"/>
      <c r="AM355" s="15"/>
    </row>
    <row r="356" spans="1:39" ht="17.25" customHeight="1" x14ac:dyDescent="0.2">
      <c r="A356" s="50">
        <v>46335</v>
      </c>
      <c r="B356" s="60"/>
      <c r="C356" s="33"/>
      <c r="D356" s="4" t="s">
        <v>19</v>
      </c>
      <c r="E356" s="23"/>
      <c r="F356" s="32"/>
      <c r="G356" s="28"/>
      <c r="H356" s="66"/>
      <c r="I356" s="26"/>
      <c r="J356" s="23"/>
      <c r="K356" s="23"/>
      <c r="L356" s="23"/>
      <c r="M356" s="23"/>
      <c r="N356" s="23"/>
      <c r="O356" s="16"/>
      <c r="P356" s="23"/>
      <c r="Q356" s="28"/>
      <c r="R356" s="32"/>
      <c r="S356" s="28"/>
      <c r="T356" s="74"/>
      <c r="U356" s="26"/>
      <c r="V356" s="23"/>
      <c r="W356" s="23"/>
      <c r="X356" s="23"/>
      <c r="Y356" s="23"/>
      <c r="Z356" s="23"/>
      <c r="AB356" s="23"/>
      <c r="AC356" s="28"/>
      <c r="AD356" s="32"/>
      <c r="AE356" s="28"/>
      <c r="AF356" s="29"/>
      <c r="AG356" s="26"/>
      <c r="AH356" s="23"/>
      <c r="AI356" s="23"/>
      <c r="AJ356" s="23"/>
      <c r="AK356" s="23"/>
      <c r="AL356" s="23"/>
    </row>
    <row r="357" spans="1:39" ht="17.25" customHeight="1" x14ac:dyDescent="0.2">
      <c r="A357" s="50">
        <v>46336</v>
      </c>
      <c r="B357" s="60" t="s">
        <v>202</v>
      </c>
      <c r="C357" s="33"/>
      <c r="D357" s="4" t="s">
        <v>27</v>
      </c>
      <c r="E357" s="23"/>
      <c r="F357" s="32"/>
      <c r="G357" s="28"/>
      <c r="H357" s="85"/>
      <c r="I357" s="26"/>
      <c r="J357" s="23"/>
      <c r="K357" s="23"/>
      <c r="L357" s="23"/>
      <c r="M357" s="23"/>
      <c r="N357" s="23"/>
      <c r="O357" s="16"/>
      <c r="P357" s="23"/>
      <c r="Q357" s="28"/>
      <c r="R357" s="32"/>
      <c r="S357" s="28"/>
      <c r="T357" s="88"/>
      <c r="U357" s="26"/>
      <c r="V357" s="23"/>
      <c r="W357" s="23"/>
      <c r="X357" s="23"/>
      <c r="Y357" s="23"/>
      <c r="Z357" s="23"/>
      <c r="AB357" s="23"/>
      <c r="AC357" s="28"/>
      <c r="AD357" s="32"/>
      <c r="AE357" s="28"/>
      <c r="AF357" s="29"/>
      <c r="AG357" s="26"/>
      <c r="AH357" s="23"/>
      <c r="AI357" s="23"/>
      <c r="AJ357" s="23"/>
      <c r="AK357" s="23"/>
      <c r="AL357" s="23"/>
    </row>
    <row r="358" spans="1:39" ht="17.25" customHeight="1" x14ac:dyDescent="0.2">
      <c r="A358" s="50">
        <v>46337</v>
      </c>
      <c r="B358" s="60"/>
      <c r="C358" s="33"/>
      <c r="D358" s="4" t="s">
        <v>31</v>
      </c>
      <c r="E358" s="23"/>
      <c r="F358" s="32"/>
      <c r="G358" s="28"/>
      <c r="H358" s="30"/>
      <c r="I358" s="26"/>
      <c r="J358" s="23"/>
      <c r="K358" s="23"/>
      <c r="L358" s="23"/>
      <c r="M358" s="23"/>
      <c r="N358" s="23"/>
      <c r="O358" s="16"/>
      <c r="P358" s="23"/>
      <c r="Q358" s="28"/>
      <c r="R358" s="32"/>
      <c r="S358" s="58"/>
      <c r="T358" s="74"/>
      <c r="U358" s="26"/>
      <c r="V358" s="23"/>
      <c r="W358" s="23"/>
      <c r="X358" s="23"/>
      <c r="Y358" s="23"/>
      <c r="Z358" s="23"/>
      <c r="AB358" s="23"/>
      <c r="AC358" s="28"/>
      <c r="AD358" s="32"/>
      <c r="AE358" s="28"/>
      <c r="AF358" s="29"/>
      <c r="AG358" s="26"/>
      <c r="AH358" s="23"/>
      <c r="AI358" s="23"/>
      <c r="AJ358" s="23"/>
      <c r="AK358" s="23"/>
      <c r="AL358" s="23"/>
    </row>
    <row r="359" spans="1:39" ht="17.25" customHeight="1" x14ac:dyDescent="0.2">
      <c r="A359" s="50">
        <v>46338</v>
      </c>
      <c r="B359" s="60"/>
      <c r="C359" s="22">
        <f>C351+1</f>
        <v>46</v>
      </c>
      <c r="D359" s="4" t="s">
        <v>33</v>
      </c>
      <c r="E359" s="23"/>
      <c r="F359" s="32"/>
      <c r="G359" s="28"/>
      <c r="H359" s="30"/>
      <c r="I359" s="26"/>
      <c r="J359" s="23"/>
      <c r="K359" s="23"/>
      <c r="L359" s="23"/>
      <c r="M359" s="23"/>
      <c r="N359" s="23"/>
      <c r="O359" s="16"/>
      <c r="P359" s="23"/>
      <c r="Q359" s="28"/>
      <c r="R359" s="32"/>
      <c r="S359" s="28"/>
      <c r="T359" s="74"/>
      <c r="U359" s="26"/>
      <c r="V359" s="23"/>
      <c r="W359" s="23"/>
      <c r="X359" s="23"/>
      <c r="Y359" s="23"/>
      <c r="Z359" s="23"/>
      <c r="AB359" s="23"/>
      <c r="AC359" s="28"/>
      <c r="AD359" s="32"/>
      <c r="AE359" s="28"/>
      <c r="AF359" s="29"/>
      <c r="AG359" s="26"/>
      <c r="AH359" s="23"/>
      <c r="AI359" s="23"/>
      <c r="AJ359" s="23"/>
      <c r="AK359" s="23"/>
      <c r="AL359" s="23"/>
    </row>
    <row r="360" spans="1:39" ht="17.25" customHeight="1" x14ac:dyDescent="0.2">
      <c r="A360" s="50">
        <v>46339</v>
      </c>
      <c r="B360" s="60"/>
      <c r="C360" s="33"/>
      <c r="D360" s="4" t="s">
        <v>35</v>
      </c>
      <c r="E360" s="23"/>
      <c r="F360" s="32"/>
      <c r="G360" s="28"/>
      <c r="H360" s="29"/>
      <c r="I360" s="26"/>
      <c r="J360" s="23"/>
      <c r="K360" s="23"/>
      <c r="L360" s="23"/>
      <c r="M360" s="23"/>
      <c r="N360" s="23"/>
      <c r="O360" s="16"/>
      <c r="P360" s="23"/>
      <c r="Q360" s="28"/>
      <c r="R360" s="32"/>
      <c r="S360" s="28"/>
      <c r="T360" s="65"/>
      <c r="U360" s="26"/>
      <c r="V360" s="23"/>
      <c r="W360" s="23"/>
      <c r="X360" s="23"/>
      <c r="Y360" s="23"/>
      <c r="Z360" s="23"/>
      <c r="AB360" s="23"/>
      <c r="AC360" s="28"/>
      <c r="AD360" s="32"/>
      <c r="AE360" s="28"/>
      <c r="AF360" s="29"/>
      <c r="AG360" s="26"/>
      <c r="AH360" s="23"/>
      <c r="AI360" s="23"/>
      <c r="AJ360" s="23"/>
      <c r="AK360" s="23"/>
      <c r="AL360" s="23"/>
    </row>
    <row r="361" spans="1:39" ht="17.25" customHeight="1" x14ac:dyDescent="0.2">
      <c r="A361" s="50">
        <v>46340</v>
      </c>
      <c r="B361" s="60"/>
      <c r="C361" s="33"/>
      <c r="D361" s="4" t="s">
        <v>36</v>
      </c>
      <c r="E361" s="23"/>
      <c r="F361" s="32"/>
      <c r="G361" s="28"/>
      <c r="H361" s="46"/>
      <c r="I361" s="26"/>
      <c r="J361" s="23"/>
      <c r="K361" s="23"/>
      <c r="L361" s="23"/>
      <c r="M361" s="23"/>
      <c r="N361" s="23"/>
      <c r="P361" s="23"/>
      <c r="Q361" s="28"/>
      <c r="R361" s="32"/>
      <c r="S361" s="28"/>
      <c r="T361" s="74"/>
      <c r="U361" s="26"/>
      <c r="V361" s="23"/>
      <c r="W361" s="23"/>
      <c r="X361" s="23"/>
      <c r="Y361" s="23"/>
      <c r="Z361" s="23"/>
      <c r="AB361" s="23"/>
      <c r="AC361" s="28"/>
      <c r="AD361" s="32"/>
      <c r="AE361" s="28"/>
      <c r="AF361" s="29"/>
      <c r="AG361" s="26"/>
      <c r="AH361" s="23"/>
      <c r="AI361" s="23"/>
      <c r="AJ361" s="23"/>
      <c r="AK361" s="23"/>
      <c r="AL361" s="23"/>
    </row>
    <row r="362" spans="1:39" ht="17.25" customHeight="1" x14ac:dyDescent="0.2">
      <c r="A362" s="50">
        <v>46341</v>
      </c>
      <c r="B362" s="60"/>
      <c r="C362" s="33"/>
      <c r="D362" s="4" t="s">
        <v>37</v>
      </c>
      <c r="E362" s="23"/>
      <c r="F362" s="32"/>
      <c r="G362" s="28"/>
      <c r="H362" s="29"/>
      <c r="I362" s="26"/>
      <c r="J362" s="23"/>
      <c r="K362" s="23"/>
      <c r="L362" s="23"/>
      <c r="M362" s="23"/>
      <c r="N362" s="23"/>
      <c r="P362" s="23"/>
      <c r="Q362" s="28"/>
      <c r="R362" s="32"/>
      <c r="S362" s="28"/>
      <c r="T362" s="65"/>
      <c r="U362" s="26"/>
      <c r="V362" s="23"/>
      <c r="W362" s="23"/>
      <c r="X362" s="23"/>
      <c r="Y362" s="23"/>
      <c r="Z362" s="23"/>
      <c r="AB362" s="23"/>
      <c r="AC362" s="28"/>
      <c r="AD362" s="32"/>
      <c r="AE362" s="28"/>
      <c r="AF362" s="29"/>
      <c r="AG362" s="26"/>
      <c r="AH362" s="23"/>
      <c r="AI362" s="23"/>
      <c r="AJ362" s="23"/>
      <c r="AK362" s="23"/>
      <c r="AL362" s="23"/>
    </row>
    <row r="363" spans="1:39" ht="17.25" customHeight="1" x14ac:dyDescent="0.2">
      <c r="A363" s="48"/>
      <c r="B363" s="60"/>
      <c r="C363" s="77"/>
      <c r="D363" s="15"/>
      <c r="E363" s="14"/>
      <c r="F363" s="15"/>
      <c r="G363" s="16"/>
      <c r="H363" s="15"/>
      <c r="I363" s="17"/>
      <c r="J363" s="17"/>
      <c r="K363" s="17"/>
      <c r="L363" s="17"/>
      <c r="M363" s="17"/>
      <c r="N363" s="17"/>
      <c r="O363" s="15"/>
      <c r="P363" s="14"/>
      <c r="Q363" s="16"/>
      <c r="R363" s="15"/>
      <c r="S363" s="16"/>
      <c r="T363" s="15"/>
      <c r="U363" s="17"/>
      <c r="V363" s="17"/>
      <c r="W363" s="17"/>
      <c r="X363" s="17"/>
      <c r="Y363" s="17"/>
      <c r="Z363" s="17"/>
      <c r="AA363" s="15"/>
      <c r="AB363" s="14"/>
      <c r="AC363" s="16"/>
      <c r="AD363" s="15"/>
      <c r="AE363" s="16"/>
      <c r="AF363" s="15"/>
      <c r="AG363" s="17"/>
      <c r="AH363" s="17"/>
      <c r="AI363" s="17"/>
      <c r="AJ363" s="17"/>
      <c r="AK363" s="17"/>
      <c r="AL363" s="17"/>
      <c r="AM363" s="15"/>
    </row>
    <row r="364" spans="1:39" ht="17.25" customHeight="1" x14ac:dyDescent="0.2">
      <c r="A364" s="50">
        <v>46342</v>
      </c>
      <c r="B364" s="60"/>
      <c r="C364" s="33"/>
      <c r="D364" s="4" t="s">
        <v>19</v>
      </c>
      <c r="E364" s="23"/>
      <c r="F364" s="32"/>
      <c r="G364" s="28"/>
      <c r="H364" s="29"/>
      <c r="I364" s="26"/>
      <c r="J364" s="23"/>
      <c r="K364" s="23"/>
      <c r="L364" s="23"/>
      <c r="M364" s="23"/>
      <c r="N364" s="23"/>
      <c r="P364" s="23"/>
      <c r="Q364" s="28"/>
      <c r="R364" s="32"/>
      <c r="S364" s="28"/>
      <c r="T364" s="74"/>
      <c r="U364" s="26"/>
      <c r="V364" s="23"/>
      <c r="W364" s="23"/>
      <c r="X364" s="23"/>
      <c r="Y364" s="23"/>
      <c r="Z364" s="23"/>
      <c r="AB364" s="23"/>
      <c r="AC364" s="28"/>
      <c r="AD364" s="32"/>
      <c r="AE364" s="28"/>
      <c r="AF364" s="29"/>
      <c r="AG364" s="26"/>
      <c r="AH364" s="23"/>
      <c r="AI364" s="23"/>
      <c r="AJ364" s="23"/>
      <c r="AK364" s="23"/>
      <c r="AL364" s="23"/>
    </row>
    <row r="365" spans="1:39" ht="17.25" customHeight="1" x14ac:dyDescent="0.2">
      <c r="A365" s="50">
        <v>46343</v>
      </c>
      <c r="C365" s="33"/>
      <c r="D365" s="4" t="s">
        <v>27</v>
      </c>
      <c r="E365" s="23"/>
      <c r="F365" s="32"/>
      <c r="G365" s="28"/>
      <c r="H365" s="30"/>
      <c r="I365" s="26"/>
      <c r="J365" s="23"/>
      <c r="K365" s="23"/>
      <c r="L365" s="23"/>
      <c r="M365" s="23"/>
      <c r="N365" s="23"/>
      <c r="P365" s="23"/>
      <c r="Q365" s="28"/>
      <c r="R365" s="32"/>
      <c r="S365" s="28"/>
      <c r="T365" s="88"/>
      <c r="U365" s="26"/>
      <c r="V365" s="23"/>
      <c r="W365" s="23"/>
      <c r="X365" s="23"/>
      <c r="Y365" s="23"/>
      <c r="Z365" s="23"/>
      <c r="AB365" s="23"/>
      <c r="AC365" s="28"/>
      <c r="AD365" s="32"/>
      <c r="AE365" s="28"/>
      <c r="AF365" s="29"/>
      <c r="AG365" s="26"/>
      <c r="AH365" s="23"/>
      <c r="AI365" s="23"/>
      <c r="AJ365" s="23"/>
      <c r="AK365" s="23"/>
      <c r="AL365" s="23"/>
    </row>
    <row r="366" spans="1:39" ht="17.25" customHeight="1" x14ac:dyDescent="0.2">
      <c r="A366" s="50">
        <v>46344</v>
      </c>
      <c r="B366" s="60"/>
      <c r="C366" s="33"/>
      <c r="D366" s="4" t="s">
        <v>31</v>
      </c>
      <c r="E366" s="23"/>
      <c r="F366" s="32"/>
      <c r="G366" s="28"/>
      <c r="H366" s="102"/>
      <c r="I366" s="26"/>
      <c r="J366" s="23"/>
      <c r="K366" s="23"/>
      <c r="L366" s="23"/>
      <c r="M366" s="23"/>
      <c r="N366" s="23"/>
      <c r="P366" s="23"/>
      <c r="Q366" s="28"/>
      <c r="R366" s="32"/>
      <c r="S366" s="28"/>
      <c r="T366" s="74"/>
      <c r="U366" s="26"/>
      <c r="V366" s="23"/>
      <c r="W366" s="23"/>
      <c r="X366" s="23"/>
      <c r="Y366" s="23"/>
      <c r="Z366" s="23"/>
      <c r="AB366" s="23"/>
      <c r="AC366" s="28"/>
      <c r="AD366" s="32"/>
      <c r="AE366" s="28"/>
      <c r="AF366" s="68"/>
      <c r="AG366" s="26"/>
      <c r="AH366" s="23"/>
      <c r="AI366" s="23"/>
      <c r="AJ366" s="23"/>
      <c r="AK366" s="23"/>
      <c r="AL366" s="23"/>
    </row>
    <row r="367" spans="1:39" ht="17.25" customHeight="1" x14ac:dyDescent="0.2">
      <c r="A367" s="50">
        <v>46345</v>
      </c>
      <c r="B367" s="60"/>
      <c r="C367" s="22">
        <f>C359+1</f>
        <v>47</v>
      </c>
      <c r="D367" s="4" t="s">
        <v>33</v>
      </c>
      <c r="E367" s="23"/>
      <c r="F367" s="32"/>
      <c r="G367" s="28"/>
      <c r="H367" s="29"/>
      <c r="I367" s="26"/>
      <c r="J367" s="23"/>
      <c r="K367" s="23"/>
      <c r="L367" s="23"/>
      <c r="M367" s="23"/>
      <c r="N367" s="23"/>
      <c r="P367" s="23"/>
      <c r="Q367" s="28"/>
      <c r="R367" s="32"/>
      <c r="S367" s="28"/>
      <c r="T367" s="74"/>
      <c r="U367" s="26"/>
      <c r="V367" s="23"/>
      <c r="W367" s="23"/>
      <c r="X367" s="23"/>
      <c r="Y367" s="23"/>
      <c r="Z367" s="23"/>
      <c r="AB367" s="23"/>
      <c r="AC367" s="28"/>
      <c r="AD367" s="32"/>
      <c r="AE367" s="28"/>
      <c r="AF367" s="29"/>
      <c r="AG367" s="26"/>
      <c r="AH367" s="23"/>
      <c r="AI367" s="23"/>
      <c r="AJ367" s="23"/>
      <c r="AK367" s="23"/>
      <c r="AL367" s="23"/>
    </row>
    <row r="368" spans="1:39" ht="17.25" customHeight="1" x14ac:dyDescent="0.2">
      <c r="A368" s="50">
        <v>46346</v>
      </c>
      <c r="B368" s="60"/>
      <c r="C368" s="33"/>
      <c r="D368" s="4" t="s">
        <v>35</v>
      </c>
      <c r="E368" s="23"/>
      <c r="F368" s="32"/>
      <c r="G368" s="28"/>
      <c r="H368" s="29"/>
      <c r="I368" s="26"/>
      <c r="J368" s="23"/>
      <c r="K368" s="23"/>
      <c r="L368" s="23"/>
      <c r="M368" s="23"/>
      <c r="N368" s="23"/>
      <c r="P368" s="23"/>
      <c r="Q368" s="28"/>
      <c r="R368" s="32"/>
      <c r="S368" s="28"/>
      <c r="T368" s="65"/>
      <c r="U368" s="26"/>
      <c r="V368" s="23"/>
      <c r="W368" s="23"/>
      <c r="X368" s="23"/>
      <c r="Y368" s="23"/>
      <c r="Z368" s="23"/>
      <c r="AB368" s="23"/>
      <c r="AC368" s="28"/>
      <c r="AD368" s="32"/>
      <c r="AE368" s="28"/>
      <c r="AF368" s="29"/>
      <c r="AG368" s="26"/>
      <c r="AH368" s="23"/>
      <c r="AI368" s="23"/>
      <c r="AJ368" s="23"/>
      <c r="AK368" s="23"/>
      <c r="AL368" s="23"/>
    </row>
    <row r="369" spans="1:39" ht="17.25" customHeight="1" x14ac:dyDescent="0.2">
      <c r="A369" s="50">
        <v>46347</v>
      </c>
      <c r="B369" s="60"/>
      <c r="C369" s="33"/>
      <c r="D369" s="4" t="s">
        <v>36</v>
      </c>
      <c r="E369" s="23"/>
      <c r="F369" s="32"/>
      <c r="G369" s="28"/>
      <c r="H369" s="29"/>
      <c r="I369" s="26"/>
      <c r="J369" s="23"/>
      <c r="K369" s="23"/>
      <c r="L369" s="23"/>
      <c r="M369" s="23"/>
      <c r="N369" s="23"/>
      <c r="P369" s="23"/>
      <c r="Q369" s="28"/>
      <c r="R369" s="32"/>
      <c r="S369" s="28"/>
      <c r="T369" s="74"/>
      <c r="U369" s="26"/>
      <c r="V369" s="23"/>
      <c r="W369" s="23"/>
      <c r="X369" s="23"/>
      <c r="Y369" s="23"/>
      <c r="Z369" s="23"/>
      <c r="AB369" s="23"/>
      <c r="AC369" s="28"/>
      <c r="AD369" s="32"/>
      <c r="AE369" s="28"/>
      <c r="AF369" s="29"/>
      <c r="AG369" s="26"/>
      <c r="AH369" s="23"/>
      <c r="AI369" s="23"/>
      <c r="AJ369" s="23"/>
      <c r="AK369" s="23"/>
      <c r="AL369" s="23"/>
    </row>
    <row r="370" spans="1:39" ht="17.25" customHeight="1" x14ac:dyDescent="0.2">
      <c r="A370" s="50">
        <v>46348</v>
      </c>
      <c r="B370" s="60"/>
      <c r="C370" s="33"/>
      <c r="D370" s="4" t="s">
        <v>37</v>
      </c>
      <c r="E370" s="23"/>
      <c r="F370" s="32"/>
      <c r="G370" s="28"/>
      <c r="H370" s="29"/>
      <c r="I370" s="26"/>
      <c r="J370" s="23"/>
      <c r="K370" s="23"/>
      <c r="L370" s="23"/>
      <c r="M370" s="23"/>
      <c r="N370" s="23"/>
      <c r="P370" s="23"/>
      <c r="Q370" s="28"/>
      <c r="R370" s="32"/>
      <c r="S370" s="28"/>
      <c r="T370" s="65"/>
      <c r="U370" s="26"/>
      <c r="V370" s="23"/>
      <c r="W370" s="23"/>
      <c r="X370" s="23"/>
      <c r="Y370" s="23"/>
      <c r="Z370" s="23"/>
      <c r="AB370" s="23"/>
      <c r="AC370" s="28"/>
      <c r="AD370" s="32"/>
      <c r="AE370" s="28"/>
      <c r="AF370" s="29"/>
      <c r="AG370" s="26"/>
      <c r="AH370" s="23"/>
      <c r="AI370" s="23"/>
      <c r="AJ370" s="23"/>
      <c r="AK370" s="23"/>
      <c r="AL370" s="23"/>
    </row>
    <row r="371" spans="1:39" ht="17.25" customHeight="1" x14ac:dyDescent="0.2">
      <c r="A371" s="48"/>
      <c r="B371" s="60"/>
      <c r="C371" s="77"/>
      <c r="D371" s="15"/>
      <c r="E371" s="14"/>
      <c r="F371" s="15"/>
      <c r="G371" s="16"/>
      <c r="H371" s="15"/>
      <c r="I371" s="17"/>
      <c r="J371" s="17"/>
      <c r="K371" s="17"/>
      <c r="L371" s="17"/>
      <c r="M371" s="17"/>
      <c r="N371" s="17"/>
      <c r="O371" s="15"/>
      <c r="P371" s="14"/>
      <c r="Q371" s="16"/>
      <c r="R371" s="15"/>
      <c r="S371" s="16"/>
      <c r="T371" s="15"/>
      <c r="U371" s="17"/>
      <c r="V371" s="17"/>
      <c r="W371" s="17"/>
      <c r="X371" s="17"/>
      <c r="Y371" s="17"/>
      <c r="Z371" s="17"/>
      <c r="AA371" s="15"/>
      <c r="AB371" s="14"/>
      <c r="AC371" s="16"/>
      <c r="AD371" s="15"/>
      <c r="AE371" s="16"/>
      <c r="AF371" s="15"/>
      <c r="AG371" s="17"/>
      <c r="AH371" s="17"/>
      <c r="AI371" s="17"/>
      <c r="AJ371" s="17"/>
      <c r="AK371" s="17"/>
      <c r="AL371" s="17"/>
      <c r="AM371" s="15"/>
    </row>
    <row r="372" spans="1:39" ht="17.25" customHeight="1" x14ac:dyDescent="0.2">
      <c r="A372" s="50">
        <v>46349</v>
      </c>
      <c r="B372" s="60"/>
      <c r="C372" s="33"/>
      <c r="D372" s="4" t="s">
        <v>19</v>
      </c>
      <c r="E372" s="23"/>
      <c r="F372" s="32"/>
      <c r="G372" s="28"/>
      <c r="H372" s="43"/>
      <c r="I372" s="26"/>
      <c r="J372" s="23"/>
      <c r="K372" s="23"/>
      <c r="L372" s="23"/>
      <c r="M372" s="23"/>
      <c r="N372" s="23"/>
      <c r="P372" s="23"/>
      <c r="Q372" s="28"/>
      <c r="R372" s="32"/>
      <c r="S372" s="28"/>
      <c r="T372" s="74"/>
      <c r="U372" s="26"/>
      <c r="V372" s="23"/>
      <c r="W372" s="23"/>
      <c r="X372" s="23"/>
      <c r="Y372" s="23"/>
      <c r="Z372" s="23"/>
      <c r="AB372" s="23"/>
      <c r="AC372" s="28"/>
      <c r="AD372" s="32"/>
      <c r="AE372" s="28"/>
      <c r="AF372" s="29"/>
      <c r="AG372" s="26"/>
      <c r="AH372" s="23"/>
      <c r="AI372" s="23"/>
      <c r="AJ372" s="23"/>
      <c r="AK372" s="23"/>
      <c r="AL372" s="23"/>
    </row>
    <row r="373" spans="1:39" ht="17.25" customHeight="1" x14ac:dyDescent="0.2">
      <c r="A373" s="50">
        <v>46350</v>
      </c>
      <c r="B373" s="60"/>
      <c r="C373" s="33"/>
      <c r="D373" s="4" t="s">
        <v>27</v>
      </c>
      <c r="E373" s="23"/>
      <c r="F373" s="32"/>
      <c r="G373" s="28"/>
      <c r="H373" s="29"/>
      <c r="I373" s="26"/>
      <c r="J373" s="23"/>
      <c r="K373" s="23"/>
      <c r="L373" s="23"/>
      <c r="M373" s="23"/>
      <c r="N373" s="23"/>
      <c r="P373" s="23"/>
      <c r="Q373" s="28"/>
      <c r="R373" s="32"/>
      <c r="S373" s="28"/>
      <c r="T373" s="88"/>
      <c r="U373" s="26"/>
      <c r="V373" s="23"/>
      <c r="W373" s="23"/>
      <c r="X373" s="23"/>
      <c r="Y373" s="23"/>
      <c r="Z373" s="23"/>
      <c r="AB373" s="23"/>
      <c r="AC373" s="28"/>
      <c r="AD373" s="32"/>
      <c r="AE373" s="28"/>
      <c r="AF373" s="29"/>
      <c r="AG373" s="26"/>
      <c r="AH373" s="23"/>
      <c r="AI373" s="23"/>
      <c r="AJ373" s="23"/>
      <c r="AK373" s="23"/>
      <c r="AL373" s="23"/>
    </row>
    <row r="374" spans="1:39" ht="17.25" customHeight="1" x14ac:dyDescent="0.2">
      <c r="A374" s="50">
        <v>46351</v>
      </c>
      <c r="B374" s="60"/>
      <c r="C374" s="33"/>
      <c r="D374" s="4" t="s">
        <v>31</v>
      </c>
      <c r="E374" s="23"/>
      <c r="F374" s="32"/>
      <c r="G374" s="28"/>
      <c r="H374" s="30"/>
      <c r="I374" s="26"/>
      <c r="J374" s="23"/>
      <c r="K374" s="23"/>
      <c r="L374" s="23"/>
      <c r="M374" s="23"/>
      <c r="N374" s="23"/>
      <c r="P374" s="23"/>
      <c r="Q374" s="28"/>
      <c r="R374" s="32"/>
      <c r="S374" s="28"/>
      <c r="T374" s="74"/>
      <c r="U374" s="26"/>
      <c r="V374" s="23"/>
      <c r="W374" s="23"/>
      <c r="X374" s="23"/>
      <c r="Y374" s="23"/>
      <c r="Z374" s="23"/>
      <c r="AB374" s="23"/>
      <c r="AC374" s="28"/>
      <c r="AD374" s="32"/>
      <c r="AE374" s="28"/>
      <c r="AF374" s="29"/>
      <c r="AG374" s="26"/>
      <c r="AH374" s="23"/>
      <c r="AI374" s="23"/>
      <c r="AJ374" s="23"/>
      <c r="AK374" s="23"/>
      <c r="AL374" s="23"/>
    </row>
    <row r="375" spans="1:39" ht="17.25" customHeight="1" x14ac:dyDescent="0.2">
      <c r="A375" s="50">
        <v>46352</v>
      </c>
      <c r="B375" s="60"/>
      <c r="C375" s="22">
        <f>C367+1</f>
        <v>48</v>
      </c>
      <c r="D375" s="4" t="s">
        <v>33</v>
      </c>
      <c r="E375" s="23"/>
      <c r="F375" s="32"/>
      <c r="G375" s="28"/>
      <c r="H375" s="30"/>
      <c r="I375" s="26"/>
      <c r="J375" s="23"/>
      <c r="K375" s="23"/>
      <c r="L375" s="23"/>
      <c r="M375" s="23"/>
      <c r="N375" s="23"/>
      <c r="P375" s="23"/>
      <c r="Q375" s="28"/>
      <c r="R375" s="32"/>
      <c r="S375" s="28"/>
      <c r="T375" s="74"/>
      <c r="U375" s="26"/>
      <c r="V375" s="23"/>
      <c r="W375" s="23"/>
      <c r="X375" s="23"/>
      <c r="Y375" s="23"/>
      <c r="Z375" s="23"/>
      <c r="AB375" s="23"/>
      <c r="AC375" s="28"/>
      <c r="AD375" s="32"/>
      <c r="AE375" s="28"/>
      <c r="AF375" s="29"/>
      <c r="AG375" s="26"/>
      <c r="AH375" s="23"/>
      <c r="AI375" s="23"/>
      <c r="AJ375" s="23"/>
      <c r="AK375" s="23"/>
      <c r="AL375" s="23"/>
    </row>
    <row r="376" spans="1:39" ht="17.25" customHeight="1" x14ac:dyDescent="0.2">
      <c r="A376" s="50">
        <v>46353</v>
      </c>
      <c r="B376" s="60"/>
      <c r="C376" s="33"/>
      <c r="D376" s="4" t="s">
        <v>35</v>
      </c>
      <c r="E376" s="23"/>
      <c r="F376" s="32"/>
      <c r="G376" s="28"/>
      <c r="H376" s="46"/>
      <c r="I376" s="26"/>
      <c r="J376" s="23"/>
      <c r="K376" s="23"/>
      <c r="L376" s="23"/>
      <c r="M376" s="23"/>
      <c r="N376" s="23"/>
      <c r="P376" s="23"/>
      <c r="Q376" s="28"/>
      <c r="R376" s="32"/>
      <c r="S376" s="28"/>
      <c r="T376" s="65"/>
      <c r="U376" s="26"/>
      <c r="V376" s="23"/>
      <c r="W376" s="23"/>
      <c r="X376" s="23"/>
      <c r="Y376" s="23"/>
      <c r="Z376" s="23"/>
      <c r="AB376" s="23"/>
      <c r="AC376" s="28"/>
      <c r="AD376" s="32"/>
      <c r="AE376" s="28"/>
      <c r="AF376" s="29"/>
      <c r="AG376" s="26"/>
      <c r="AH376" s="23"/>
      <c r="AI376" s="23"/>
      <c r="AJ376" s="23"/>
      <c r="AK376" s="23"/>
      <c r="AL376" s="23"/>
    </row>
    <row r="377" spans="1:39" ht="17.25" customHeight="1" x14ac:dyDescent="0.2">
      <c r="A377" s="50">
        <v>46354</v>
      </c>
      <c r="C377" s="33"/>
      <c r="D377" s="4" t="s">
        <v>36</v>
      </c>
      <c r="E377" s="23"/>
      <c r="F377" s="32"/>
      <c r="G377" s="28"/>
      <c r="H377" s="46"/>
      <c r="I377" s="26"/>
      <c r="J377" s="23"/>
      <c r="K377" s="23"/>
      <c r="L377" s="23"/>
      <c r="M377" s="23"/>
      <c r="N377" s="23"/>
      <c r="O377" s="16"/>
      <c r="P377" s="23"/>
      <c r="Q377" s="28"/>
      <c r="R377" s="32"/>
      <c r="S377" s="28"/>
      <c r="T377" s="74"/>
      <c r="U377" s="26"/>
      <c r="V377" s="23"/>
      <c r="W377" s="23"/>
      <c r="X377" s="23"/>
      <c r="Y377" s="23"/>
      <c r="Z377" s="23"/>
      <c r="AB377" s="23"/>
      <c r="AC377" s="28"/>
      <c r="AD377" s="32"/>
      <c r="AE377" s="28"/>
      <c r="AF377" s="29"/>
      <c r="AG377" s="26"/>
      <c r="AH377" s="23"/>
      <c r="AI377" s="23"/>
      <c r="AJ377" s="23"/>
      <c r="AK377" s="23"/>
      <c r="AL377" s="23"/>
    </row>
    <row r="378" spans="1:39" ht="17.25" customHeight="1" x14ac:dyDescent="0.2">
      <c r="A378" s="50">
        <v>46355</v>
      </c>
      <c r="B378" s="60"/>
      <c r="C378" s="33"/>
      <c r="D378" s="4" t="s">
        <v>37</v>
      </c>
      <c r="E378" s="23"/>
      <c r="F378" s="32"/>
      <c r="G378" s="28"/>
      <c r="H378" s="29"/>
      <c r="I378" s="26"/>
      <c r="J378" s="23"/>
      <c r="K378" s="23"/>
      <c r="L378" s="23"/>
      <c r="M378" s="23"/>
      <c r="N378" s="23"/>
      <c r="O378" s="16"/>
      <c r="P378" s="23"/>
      <c r="Q378" s="28"/>
      <c r="R378" s="32"/>
      <c r="S378" s="28"/>
      <c r="T378" s="65"/>
      <c r="U378" s="26"/>
      <c r="V378" s="23"/>
      <c r="W378" s="23"/>
      <c r="X378" s="23"/>
      <c r="Y378" s="23"/>
      <c r="Z378" s="23"/>
      <c r="AB378" s="23"/>
      <c r="AC378" s="28"/>
      <c r="AD378" s="32"/>
      <c r="AE378" s="28"/>
      <c r="AF378" s="29"/>
      <c r="AG378" s="26"/>
      <c r="AH378" s="23"/>
      <c r="AI378" s="23"/>
      <c r="AJ378" s="23"/>
      <c r="AK378" s="23"/>
      <c r="AL378" s="23"/>
    </row>
    <row r="379" spans="1:39" ht="17.25" customHeight="1" x14ac:dyDescent="0.2">
      <c r="A379" s="48"/>
      <c r="B379" s="60"/>
      <c r="C379" s="77"/>
      <c r="D379" s="15"/>
      <c r="E379" s="14"/>
      <c r="F379" s="15"/>
      <c r="G379" s="16"/>
      <c r="H379" s="15"/>
      <c r="I379" s="17"/>
      <c r="J379" s="17"/>
      <c r="K379" s="17"/>
      <c r="L379" s="17"/>
      <c r="M379" s="17"/>
      <c r="N379" s="17"/>
      <c r="O379" s="15"/>
      <c r="P379" s="14"/>
      <c r="Q379" s="16"/>
      <c r="R379" s="15"/>
      <c r="S379" s="16"/>
      <c r="T379" s="15"/>
      <c r="U379" s="17"/>
      <c r="V379" s="17"/>
      <c r="W379" s="17"/>
      <c r="X379" s="17"/>
      <c r="Y379" s="17"/>
      <c r="Z379" s="17"/>
      <c r="AA379" s="15"/>
      <c r="AB379" s="14"/>
      <c r="AC379" s="16"/>
      <c r="AD379" s="15"/>
      <c r="AE379" s="16"/>
      <c r="AF379" s="15"/>
      <c r="AG379" s="17"/>
      <c r="AH379" s="17"/>
      <c r="AI379" s="17"/>
      <c r="AJ379" s="17"/>
      <c r="AK379" s="17"/>
      <c r="AL379" s="17"/>
      <c r="AM379" s="15"/>
    </row>
    <row r="380" spans="1:39" ht="17.25" customHeight="1" x14ac:dyDescent="0.2">
      <c r="A380" s="50">
        <v>46356</v>
      </c>
      <c r="B380" s="60"/>
      <c r="C380" s="33"/>
      <c r="D380" s="4" t="s">
        <v>19</v>
      </c>
      <c r="E380" s="23"/>
      <c r="F380" s="32"/>
      <c r="G380" s="28"/>
      <c r="H380" s="46"/>
      <c r="I380" s="26"/>
      <c r="J380" s="23"/>
      <c r="K380" s="23"/>
      <c r="L380" s="23"/>
      <c r="M380" s="23"/>
      <c r="N380" s="23"/>
      <c r="O380" s="16"/>
      <c r="P380" s="23"/>
      <c r="Q380" s="28"/>
      <c r="R380" s="32"/>
      <c r="S380" s="28"/>
      <c r="T380" s="74"/>
      <c r="U380" s="26"/>
      <c r="V380" s="23"/>
      <c r="W380" s="23"/>
      <c r="X380" s="23"/>
      <c r="Y380" s="23"/>
      <c r="Z380" s="23"/>
      <c r="AB380" s="23"/>
      <c r="AC380" s="28"/>
      <c r="AD380" s="32"/>
      <c r="AE380" s="28"/>
      <c r="AF380" s="30"/>
      <c r="AG380" s="26"/>
      <c r="AH380" s="23"/>
      <c r="AI380" s="23"/>
      <c r="AJ380" s="23"/>
      <c r="AK380" s="23"/>
      <c r="AL380" s="23"/>
    </row>
    <row r="381" spans="1:39" ht="17.25" customHeight="1" x14ac:dyDescent="0.2">
      <c r="A381" s="50">
        <v>46357</v>
      </c>
      <c r="B381" s="41" t="s">
        <v>203</v>
      </c>
      <c r="C381" s="33"/>
      <c r="D381" s="4" t="s">
        <v>27</v>
      </c>
      <c r="E381" s="23"/>
      <c r="F381" s="32"/>
      <c r="G381" s="28"/>
      <c r="H381" s="29"/>
      <c r="I381" s="26"/>
      <c r="J381" s="23"/>
      <c r="K381" s="23"/>
      <c r="L381" s="23"/>
      <c r="M381" s="23"/>
      <c r="N381" s="23"/>
      <c r="O381" s="16"/>
      <c r="P381" s="23"/>
      <c r="Q381" s="28"/>
      <c r="R381" s="32"/>
      <c r="S381" s="28"/>
      <c r="T381" s="88"/>
      <c r="U381" s="26"/>
      <c r="V381" s="23"/>
      <c r="W381" s="23"/>
      <c r="X381" s="23"/>
      <c r="Y381" s="23"/>
      <c r="Z381" s="23"/>
      <c r="AB381" s="23"/>
      <c r="AC381" s="28"/>
      <c r="AD381" s="32"/>
      <c r="AE381" s="28"/>
      <c r="AF381" s="29"/>
      <c r="AG381" s="26"/>
      <c r="AH381" s="23"/>
      <c r="AI381" s="23"/>
      <c r="AJ381" s="23"/>
      <c r="AK381" s="23"/>
      <c r="AL381" s="23"/>
    </row>
    <row r="382" spans="1:39" ht="17.25" customHeight="1" x14ac:dyDescent="0.2">
      <c r="A382" s="50">
        <v>46358</v>
      </c>
      <c r="B382" s="60"/>
      <c r="C382" s="33"/>
      <c r="D382" s="4" t="s">
        <v>31</v>
      </c>
      <c r="E382" s="23"/>
      <c r="F382" s="32"/>
      <c r="G382" s="28"/>
      <c r="H382" s="30"/>
      <c r="I382" s="26"/>
      <c r="J382" s="23"/>
      <c r="K382" s="23"/>
      <c r="L382" s="23"/>
      <c r="M382" s="23"/>
      <c r="N382" s="23"/>
      <c r="O382" s="16"/>
      <c r="P382" s="23"/>
      <c r="Q382" s="28"/>
      <c r="R382" s="32"/>
      <c r="S382" s="28"/>
      <c r="T382" s="74"/>
      <c r="U382" s="26"/>
      <c r="V382" s="23"/>
      <c r="W382" s="23"/>
      <c r="X382" s="23"/>
      <c r="Y382" s="23"/>
      <c r="Z382" s="23"/>
      <c r="AB382" s="23"/>
      <c r="AC382" s="28"/>
      <c r="AD382" s="32"/>
      <c r="AE382" s="28"/>
      <c r="AF382" s="29"/>
      <c r="AG382" s="26"/>
      <c r="AH382" s="23"/>
      <c r="AI382" s="23"/>
      <c r="AJ382" s="23"/>
      <c r="AK382" s="23"/>
      <c r="AL382" s="23"/>
    </row>
    <row r="383" spans="1:39" ht="17.25" customHeight="1" x14ac:dyDescent="0.2">
      <c r="A383" s="50">
        <v>46359</v>
      </c>
      <c r="B383" s="60"/>
      <c r="C383" s="22">
        <f>C375+1</f>
        <v>49</v>
      </c>
      <c r="D383" s="4" t="s">
        <v>33</v>
      </c>
      <c r="E383" s="23"/>
      <c r="F383" s="32"/>
      <c r="G383" s="28"/>
      <c r="H383" s="30"/>
      <c r="I383" s="26"/>
      <c r="J383" s="23"/>
      <c r="K383" s="23"/>
      <c r="L383" s="23"/>
      <c r="M383" s="23"/>
      <c r="N383" s="23"/>
      <c r="O383" s="16"/>
      <c r="P383" s="23"/>
      <c r="Q383" s="28"/>
      <c r="R383" s="32"/>
      <c r="S383" s="28"/>
      <c r="T383" s="74"/>
      <c r="U383" s="26"/>
      <c r="V383" s="23"/>
      <c r="W383" s="23"/>
      <c r="X383" s="23"/>
      <c r="Y383" s="23"/>
      <c r="Z383" s="23"/>
      <c r="AB383" s="23"/>
      <c r="AC383" s="28"/>
      <c r="AD383" s="32"/>
      <c r="AE383" s="28"/>
      <c r="AF383" s="29"/>
      <c r="AG383" s="26"/>
      <c r="AH383" s="23"/>
      <c r="AI383" s="23"/>
      <c r="AJ383" s="23"/>
      <c r="AK383" s="23"/>
      <c r="AL383" s="23"/>
    </row>
    <row r="384" spans="1:39" ht="17.25" customHeight="1" x14ac:dyDescent="0.2">
      <c r="A384" s="50">
        <v>46360</v>
      </c>
      <c r="B384" s="60"/>
      <c r="C384" s="33"/>
      <c r="D384" s="4" t="s">
        <v>35</v>
      </c>
      <c r="E384" s="23"/>
      <c r="F384" s="32"/>
      <c r="G384" s="28"/>
      <c r="H384" s="30"/>
      <c r="I384" s="26"/>
      <c r="J384" s="23"/>
      <c r="K384" s="23"/>
      <c r="L384" s="23"/>
      <c r="M384" s="23"/>
      <c r="N384" s="23"/>
      <c r="O384" s="16"/>
      <c r="P384" s="23"/>
      <c r="Q384" s="28"/>
      <c r="R384" s="32"/>
      <c r="S384" s="28"/>
      <c r="T384" s="65"/>
      <c r="U384" s="26"/>
      <c r="V384" s="23"/>
      <c r="W384" s="23"/>
      <c r="X384" s="23"/>
      <c r="Y384" s="23"/>
      <c r="Z384" s="23"/>
      <c r="AB384" s="23"/>
      <c r="AC384" s="28"/>
      <c r="AD384" s="32"/>
      <c r="AE384" s="28"/>
      <c r="AF384" s="29"/>
      <c r="AG384" s="26"/>
      <c r="AH384" s="23"/>
      <c r="AI384" s="23"/>
      <c r="AJ384" s="23"/>
      <c r="AK384" s="23"/>
      <c r="AL384" s="23"/>
    </row>
    <row r="385" spans="1:39" ht="17.25" customHeight="1" x14ac:dyDescent="0.2">
      <c r="A385" s="50">
        <v>46361</v>
      </c>
      <c r="B385" s="60"/>
      <c r="C385" s="33"/>
      <c r="D385" s="4" t="s">
        <v>36</v>
      </c>
      <c r="E385" s="23"/>
      <c r="F385" s="32"/>
      <c r="G385" s="28"/>
      <c r="H385" s="29"/>
      <c r="I385" s="26"/>
      <c r="J385" s="23"/>
      <c r="K385" s="23"/>
      <c r="L385" s="23"/>
      <c r="M385" s="23"/>
      <c r="N385" s="23"/>
      <c r="O385" s="16"/>
      <c r="P385" s="23"/>
      <c r="Q385" s="28"/>
      <c r="R385" s="32"/>
      <c r="S385" s="28"/>
      <c r="T385" s="74"/>
      <c r="U385" s="26"/>
      <c r="V385" s="23"/>
      <c r="W385" s="23"/>
      <c r="X385" s="23"/>
      <c r="Y385" s="23"/>
      <c r="Z385" s="23"/>
      <c r="AB385" s="23"/>
      <c r="AC385" s="28"/>
      <c r="AD385" s="32"/>
      <c r="AE385" s="28"/>
      <c r="AF385" s="29"/>
      <c r="AG385" s="26"/>
      <c r="AH385" s="23"/>
      <c r="AI385" s="23"/>
      <c r="AJ385" s="23"/>
      <c r="AK385" s="23"/>
      <c r="AL385" s="23"/>
    </row>
    <row r="386" spans="1:39" ht="17.25" customHeight="1" x14ac:dyDescent="0.2">
      <c r="A386" s="50">
        <v>46362</v>
      </c>
      <c r="B386" s="60"/>
      <c r="C386" s="33"/>
      <c r="D386" s="4" t="s">
        <v>37</v>
      </c>
      <c r="E386" s="23"/>
      <c r="F386" s="32"/>
      <c r="G386" s="28"/>
      <c r="H386" s="30"/>
      <c r="I386" s="26"/>
      <c r="J386" s="23"/>
      <c r="K386" s="23"/>
      <c r="L386" s="23"/>
      <c r="M386" s="23"/>
      <c r="N386" s="23"/>
      <c r="O386" s="16"/>
      <c r="P386" s="23"/>
      <c r="Q386" s="28"/>
      <c r="R386" s="32"/>
      <c r="S386" s="28"/>
      <c r="T386" s="65"/>
      <c r="U386" s="26"/>
      <c r="V386" s="23"/>
      <c r="W386" s="23"/>
      <c r="X386" s="23"/>
      <c r="Y386" s="23"/>
      <c r="Z386" s="23"/>
      <c r="AB386" s="23"/>
      <c r="AC386" s="28"/>
      <c r="AD386" s="32"/>
      <c r="AE386" s="28"/>
      <c r="AF386" s="29"/>
      <c r="AG386" s="26"/>
      <c r="AH386" s="23"/>
      <c r="AI386" s="23"/>
      <c r="AJ386" s="23"/>
      <c r="AK386" s="23"/>
      <c r="AL386" s="23"/>
    </row>
    <row r="387" spans="1:39" ht="17.25" customHeight="1" x14ac:dyDescent="0.2">
      <c r="A387" s="48"/>
      <c r="B387" s="60"/>
      <c r="C387" s="77"/>
      <c r="D387" s="15"/>
      <c r="E387" s="14"/>
      <c r="F387" s="15"/>
      <c r="G387" s="16"/>
      <c r="H387" s="15"/>
      <c r="I387" s="17"/>
      <c r="J387" s="17"/>
      <c r="K387" s="17"/>
      <c r="L387" s="17"/>
      <c r="M387" s="17"/>
      <c r="N387" s="17"/>
      <c r="O387" s="15"/>
      <c r="P387" s="14"/>
      <c r="Q387" s="16"/>
      <c r="R387" s="15"/>
      <c r="S387" s="16"/>
      <c r="T387" s="15"/>
      <c r="U387" s="17"/>
      <c r="V387" s="17"/>
      <c r="W387" s="17"/>
      <c r="X387" s="17"/>
      <c r="Y387" s="17"/>
      <c r="Z387" s="17"/>
      <c r="AA387" s="15"/>
      <c r="AB387" s="14"/>
      <c r="AC387" s="16"/>
      <c r="AD387" s="15"/>
      <c r="AE387" s="16"/>
      <c r="AF387" s="15"/>
      <c r="AG387" s="17"/>
      <c r="AH387" s="17"/>
      <c r="AI387" s="17"/>
      <c r="AJ387" s="17"/>
      <c r="AK387" s="17"/>
      <c r="AL387" s="17"/>
      <c r="AM387" s="15"/>
    </row>
    <row r="388" spans="1:39" ht="17.25" customHeight="1" x14ac:dyDescent="0.2">
      <c r="A388" s="50">
        <v>46363</v>
      </c>
      <c r="B388" s="41"/>
      <c r="C388" s="33"/>
      <c r="D388" s="4" t="s">
        <v>19</v>
      </c>
      <c r="E388" s="23"/>
      <c r="F388" s="32" t="s">
        <v>42</v>
      </c>
      <c r="G388" s="28"/>
      <c r="H388" s="29" t="s">
        <v>204</v>
      </c>
      <c r="I388" s="26"/>
      <c r="J388" s="23"/>
      <c r="K388" s="23"/>
      <c r="L388" s="23"/>
      <c r="M388" s="23"/>
      <c r="N388" s="23"/>
      <c r="O388" s="16"/>
      <c r="P388" s="23"/>
      <c r="Q388" s="28"/>
      <c r="R388" s="32"/>
      <c r="S388" s="28"/>
      <c r="T388" s="74"/>
      <c r="U388" s="26"/>
      <c r="V388" s="23"/>
      <c r="W388" s="23"/>
      <c r="X388" s="23"/>
      <c r="Y388" s="23"/>
      <c r="Z388" s="23"/>
      <c r="AB388" s="23"/>
      <c r="AC388" s="28"/>
      <c r="AD388" s="32"/>
      <c r="AE388" s="28"/>
      <c r="AF388" s="29"/>
      <c r="AG388" s="26"/>
      <c r="AH388" s="23"/>
      <c r="AI388" s="23"/>
      <c r="AJ388" s="23"/>
      <c r="AK388" s="23"/>
      <c r="AL388" s="23"/>
    </row>
    <row r="389" spans="1:39" ht="17.25" customHeight="1" x14ac:dyDescent="0.2">
      <c r="A389" s="50">
        <v>46364</v>
      </c>
      <c r="B389" s="60"/>
      <c r="C389" s="33"/>
      <c r="D389" s="4" t="s">
        <v>27</v>
      </c>
      <c r="E389" s="23"/>
      <c r="F389" s="32"/>
      <c r="G389" s="28"/>
      <c r="H389" s="30"/>
      <c r="I389" s="26"/>
      <c r="J389" s="23"/>
      <c r="K389" s="23"/>
      <c r="L389" s="23"/>
      <c r="M389" s="23"/>
      <c r="N389" s="23"/>
      <c r="O389" s="16"/>
      <c r="P389" s="23"/>
      <c r="Q389" s="28"/>
      <c r="R389" s="32"/>
      <c r="S389" s="28"/>
      <c r="T389" s="88"/>
      <c r="U389" s="26"/>
      <c r="V389" s="23"/>
      <c r="W389" s="23"/>
      <c r="X389" s="23"/>
      <c r="Y389" s="23"/>
      <c r="Z389" s="23"/>
      <c r="AB389" s="23"/>
      <c r="AC389" s="28"/>
      <c r="AD389" s="32"/>
      <c r="AE389" s="28"/>
      <c r="AF389" s="29"/>
      <c r="AG389" s="26"/>
      <c r="AH389" s="23"/>
      <c r="AI389" s="23"/>
      <c r="AJ389" s="23"/>
      <c r="AK389" s="23"/>
      <c r="AL389" s="23"/>
    </row>
    <row r="390" spans="1:39" ht="17.25" customHeight="1" x14ac:dyDescent="0.2">
      <c r="A390" s="50">
        <v>46365</v>
      </c>
      <c r="B390" s="60"/>
      <c r="C390" s="33"/>
      <c r="D390" s="4" t="s">
        <v>31</v>
      </c>
      <c r="E390" s="23"/>
      <c r="F390" s="32"/>
      <c r="G390" s="28"/>
      <c r="H390" s="29"/>
      <c r="I390" s="26"/>
      <c r="J390" s="23"/>
      <c r="K390" s="23"/>
      <c r="L390" s="23"/>
      <c r="M390" s="23"/>
      <c r="N390" s="23"/>
      <c r="O390" s="16"/>
      <c r="P390" s="23"/>
      <c r="Q390" s="28"/>
      <c r="R390" s="32"/>
      <c r="S390" s="58"/>
      <c r="T390" s="74"/>
      <c r="U390" s="26"/>
      <c r="V390" s="23"/>
      <c r="W390" s="23"/>
      <c r="X390" s="23"/>
      <c r="Y390" s="23"/>
      <c r="Z390" s="23"/>
      <c r="AB390" s="23"/>
      <c r="AC390" s="28"/>
      <c r="AD390" s="32"/>
      <c r="AE390" s="28"/>
      <c r="AF390" s="29"/>
      <c r="AG390" s="26"/>
      <c r="AH390" s="23"/>
      <c r="AI390" s="23"/>
      <c r="AJ390" s="23"/>
      <c r="AK390" s="23"/>
      <c r="AL390" s="23"/>
    </row>
    <row r="391" spans="1:39" ht="17.25" customHeight="1" x14ac:dyDescent="0.2">
      <c r="A391" s="50">
        <v>46366</v>
      </c>
      <c r="B391" s="60"/>
      <c r="C391" s="22">
        <f>C383+1</f>
        <v>50</v>
      </c>
      <c r="D391" s="4" t="s">
        <v>33</v>
      </c>
      <c r="E391" s="23"/>
      <c r="F391" s="32"/>
      <c r="G391" s="28"/>
      <c r="H391" s="30"/>
      <c r="I391" s="26"/>
      <c r="J391" s="23"/>
      <c r="K391" s="23"/>
      <c r="L391" s="23"/>
      <c r="M391" s="23"/>
      <c r="N391" s="23"/>
      <c r="O391" s="16"/>
      <c r="P391" s="23"/>
      <c r="Q391" s="28"/>
      <c r="R391" s="32"/>
      <c r="S391" s="28"/>
      <c r="T391" s="74"/>
      <c r="U391" s="26"/>
      <c r="V391" s="23"/>
      <c r="W391" s="23"/>
      <c r="X391" s="23"/>
      <c r="Y391" s="23"/>
      <c r="Z391" s="23"/>
      <c r="AB391" s="23"/>
      <c r="AC391" s="28"/>
      <c r="AD391" s="32"/>
      <c r="AE391" s="28"/>
      <c r="AF391" s="29"/>
      <c r="AG391" s="26"/>
      <c r="AH391" s="23"/>
      <c r="AI391" s="23"/>
      <c r="AJ391" s="23"/>
      <c r="AK391" s="23"/>
      <c r="AL391" s="23"/>
    </row>
    <row r="392" spans="1:39" ht="17.25" customHeight="1" x14ac:dyDescent="0.2">
      <c r="A392" s="50">
        <v>46367</v>
      </c>
      <c r="B392" s="60"/>
      <c r="C392" s="33"/>
      <c r="D392" s="4" t="s">
        <v>35</v>
      </c>
      <c r="E392" s="23"/>
      <c r="F392" s="32"/>
      <c r="G392" s="28"/>
      <c r="H392" s="46"/>
      <c r="I392" s="26"/>
      <c r="J392" s="23"/>
      <c r="K392" s="23"/>
      <c r="L392" s="23"/>
      <c r="M392" s="23"/>
      <c r="N392" s="23"/>
      <c r="O392" s="16"/>
      <c r="P392" s="23"/>
      <c r="Q392" s="28"/>
      <c r="R392" s="32"/>
      <c r="S392" s="28"/>
      <c r="T392" s="65"/>
      <c r="U392" s="26"/>
      <c r="V392" s="23"/>
      <c r="W392" s="23"/>
      <c r="X392" s="23"/>
      <c r="Y392" s="23"/>
      <c r="Z392" s="23"/>
      <c r="AB392" s="23"/>
      <c r="AC392" s="28"/>
      <c r="AD392" s="32"/>
      <c r="AE392" s="28"/>
      <c r="AF392" s="29"/>
      <c r="AG392" s="26"/>
      <c r="AH392" s="23"/>
      <c r="AI392" s="23"/>
      <c r="AJ392" s="23"/>
      <c r="AK392" s="23"/>
      <c r="AL392" s="23"/>
    </row>
    <row r="393" spans="1:39" ht="17.25" customHeight="1" x14ac:dyDescent="0.2">
      <c r="A393" s="50">
        <v>46368</v>
      </c>
      <c r="B393" s="60"/>
      <c r="C393" s="33"/>
      <c r="D393" s="4" t="s">
        <v>36</v>
      </c>
      <c r="E393" s="23"/>
      <c r="F393" s="32"/>
      <c r="G393" s="28"/>
      <c r="H393" s="30"/>
      <c r="I393" s="26"/>
      <c r="J393" s="23"/>
      <c r="K393" s="23"/>
      <c r="L393" s="23"/>
      <c r="M393" s="23"/>
      <c r="N393" s="23"/>
      <c r="O393" s="16"/>
      <c r="P393" s="23"/>
      <c r="Q393" s="28"/>
      <c r="R393" s="32"/>
      <c r="S393" s="28"/>
      <c r="T393" s="74"/>
      <c r="U393" s="26"/>
      <c r="V393" s="23"/>
      <c r="W393" s="23"/>
      <c r="X393" s="23"/>
      <c r="Y393" s="23"/>
      <c r="Z393" s="23"/>
      <c r="AA393" s="16"/>
      <c r="AB393" s="23"/>
      <c r="AC393" s="28"/>
      <c r="AD393" s="32"/>
      <c r="AE393" s="28"/>
      <c r="AF393" s="29"/>
      <c r="AG393" s="26"/>
      <c r="AH393" s="23"/>
      <c r="AI393" s="23"/>
      <c r="AJ393" s="23"/>
      <c r="AK393" s="23"/>
      <c r="AL393" s="23"/>
    </row>
    <row r="394" spans="1:39" ht="17.25" customHeight="1" x14ac:dyDescent="0.2">
      <c r="A394" s="50">
        <v>46369</v>
      </c>
      <c r="B394" s="60"/>
      <c r="C394" s="33"/>
      <c r="D394" s="4" t="s">
        <v>37</v>
      </c>
      <c r="E394" s="23"/>
      <c r="F394" s="32"/>
      <c r="G394" s="37"/>
      <c r="H394" s="30"/>
      <c r="I394" s="26"/>
      <c r="J394" s="23"/>
      <c r="K394" s="23"/>
      <c r="L394" s="23"/>
      <c r="M394" s="23"/>
      <c r="N394" s="23"/>
      <c r="O394" s="16"/>
      <c r="P394" s="23"/>
      <c r="Q394" s="28"/>
      <c r="R394" s="32"/>
      <c r="S394" s="28"/>
      <c r="T394" s="65"/>
      <c r="U394" s="26"/>
      <c r="V394" s="23"/>
      <c r="W394" s="23"/>
      <c r="X394" s="23"/>
      <c r="Y394" s="23"/>
      <c r="Z394" s="23"/>
      <c r="AA394" s="16"/>
      <c r="AB394" s="23"/>
      <c r="AC394" s="28"/>
      <c r="AD394" s="32"/>
      <c r="AE394" s="28"/>
      <c r="AF394" s="29"/>
      <c r="AG394" s="26"/>
      <c r="AH394" s="23"/>
      <c r="AI394" s="23"/>
      <c r="AJ394" s="23"/>
      <c r="AK394" s="23"/>
      <c r="AL394" s="23"/>
    </row>
    <row r="395" spans="1:39" ht="17.25" customHeight="1" x14ac:dyDescent="0.2">
      <c r="A395" s="48"/>
      <c r="B395" s="60"/>
      <c r="C395" s="77"/>
      <c r="D395" s="15"/>
      <c r="E395" s="14"/>
      <c r="F395" s="15"/>
      <c r="G395" s="16"/>
      <c r="H395" s="15"/>
      <c r="I395" s="17"/>
      <c r="J395" s="17"/>
      <c r="K395" s="17"/>
      <c r="L395" s="17"/>
      <c r="M395" s="17"/>
      <c r="N395" s="17"/>
      <c r="O395" s="15"/>
      <c r="P395" s="14"/>
      <c r="Q395" s="16"/>
      <c r="R395" s="15"/>
      <c r="S395" s="16"/>
      <c r="T395" s="15"/>
      <c r="U395" s="17"/>
      <c r="V395" s="17"/>
      <c r="W395" s="17"/>
      <c r="X395" s="17"/>
      <c r="Y395" s="17"/>
      <c r="Z395" s="17"/>
      <c r="AA395" s="15"/>
      <c r="AB395" s="14"/>
      <c r="AC395" s="16"/>
      <c r="AD395" s="15"/>
      <c r="AE395" s="16"/>
      <c r="AF395" s="15"/>
      <c r="AG395" s="17"/>
      <c r="AH395" s="17"/>
      <c r="AI395" s="17"/>
      <c r="AJ395" s="17"/>
      <c r="AK395" s="17"/>
      <c r="AL395" s="17"/>
      <c r="AM395" s="15"/>
    </row>
    <row r="396" spans="1:39" ht="17.25" customHeight="1" x14ac:dyDescent="0.2">
      <c r="A396" s="50">
        <v>46370</v>
      </c>
      <c r="B396" s="60"/>
      <c r="C396" s="33"/>
      <c r="D396" s="4" t="s">
        <v>19</v>
      </c>
      <c r="E396" s="23"/>
      <c r="F396" s="32"/>
      <c r="G396" s="28"/>
      <c r="H396" s="30"/>
      <c r="I396" s="26"/>
      <c r="J396" s="23"/>
      <c r="K396" s="23"/>
      <c r="L396" s="23"/>
      <c r="M396" s="23"/>
      <c r="N396" s="23"/>
      <c r="O396" s="16"/>
      <c r="P396" s="23"/>
      <c r="Q396" s="28"/>
      <c r="R396" s="32"/>
      <c r="S396" s="28"/>
      <c r="T396" s="74"/>
      <c r="U396" s="26"/>
      <c r="V396" s="23"/>
      <c r="W396" s="23"/>
      <c r="X396" s="23"/>
      <c r="Y396" s="23"/>
      <c r="Z396" s="23"/>
      <c r="AA396" s="16"/>
      <c r="AB396" s="23"/>
      <c r="AC396" s="28"/>
      <c r="AD396" s="32"/>
      <c r="AE396" s="28"/>
      <c r="AF396" s="29"/>
      <c r="AG396" s="26"/>
      <c r="AH396" s="23"/>
      <c r="AI396" s="23"/>
      <c r="AJ396" s="23"/>
      <c r="AK396" s="23"/>
      <c r="AL396" s="23"/>
    </row>
    <row r="397" spans="1:39" ht="17.25" customHeight="1" x14ac:dyDescent="0.2">
      <c r="A397" s="50">
        <v>46371</v>
      </c>
      <c r="B397" s="60"/>
      <c r="C397" s="33"/>
      <c r="D397" s="4" t="s">
        <v>27</v>
      </c>
      <c r="E397" s="23"/>
      <c r="F397" s="32"/>
      <c r="G397" s="28"/>
      <c r="H397" s="30"/>
      <c r="I397" s="26"/>
      <c r="J397" s="23"/>
      <c r="K397" s="23"/>
      <c r="L397" s="23"/>
      <c r="M397" s="23"/>
      <c r="N397" s="23"/>
      <c r="O397" s="16"/>
      <c r="P397" s="23"/>
      <c r="Q397" s="28"/>
      <c r="R397" s="32"/>
      <c r="S397" s="28"/>
      <c r="T397" s="88"/>
      <c r="U397" s="26"/>
      <c r="V397" s="23"/>
      <c r="W397" s="23"/>
      <c r="X397" s="23"/>
      <c r="Y397" s="23"/>
      <c r="Z397" s="23"/>
      <c r="AA397" s="16"/>
      <c r="AB397" s="23"/>
      <c r="AC397" s="28"/>
      <c r="AD397" s="32"/>
      <c r="AE397" s="28"/>
      <c r="AF397" s="29"/>
      <c r="AG397" s="26"/>
      <c r="AH397" s="23"/>
      <c r="AI397" s="23"/>
      <c r="AJ397" s="23"/>
      <c r="AK397" s="23"/>
      <c r="AL397" s="23"/>
    </row>
    <row r="398" spans="1:39" ht="17.25" customHeight="1" x14ac:dyDescent="0.2">
      <c r="A398" s="50">
        <v>46372</v>
      </c>
      <c r="B398" s="60"/>
      <c r="C398" s="33"/>
      <c r="D398" s="4" t="s">
        <v>31</v>
      </c>
      <c r="E398" s="23"/>
      <c r="F398" s="32"/>
      <c r="G398" s="28"/>
      <c r="H398" s="43"/>
      <c r="I398" s="26"/>
      <c r="J398" s="23"/>
      <c r="K398" s="23"/>
      <c r="L398" s="23"/>
      <c r="M398" s="23"/>
      <c r="N398" s="23"/>
      <c r="O398" s="16"/>
      <c r="P398" s="23"/>
      <c r="Q398" s="28"/>
      <c r="R398" s="32"/>
      <c r="S398" s="28"/>
      <c r="T398" s="74"/>
      <c r="U398" s="26"/>
      <c r="V398" s="23"/>
      <c r="W398" s="23"/>
      <c r="X398" s="23"/>
      <c r="Y398" s="23"/>
      <c r="Z398" s="23"/>
      <c r="AA398" s="16"/>
      <c r="AB398" s="23"/>
      <c r="AC398" s="28"/>
      <c r="AD398" s="32"/>
      <c r="AE398" s="58"/>
      <c r="AF398" s="59"/>
      <c r="AG398" s="26"/>
      <c r="AH398" s="23"/>
      <c r="AI398" s="23"/>
      <c r="AJ398" s="23"/>
      <c r="AK398" s="23"/>
      <c r="AL398" s="23"/>
    </row>
    <row r="399" spans="1:39" ht="17.25" customHeight="1" x14ac:dyDescent="0.2">
      <c r="A399" s="50">
        <v>46373</v>
      </c>
      <c r="B399" s="60"/>
      <c r="C399" s="22">
        <f>C391+1</f>
        <v>51</v>
      </c>
      <c r="D399" s="4" t="s">
        <v>33</v>
      </c>
      <c r="E399" s="23"/>
      <c r="F399" s="32"/>
      <c r="G399" s="28"/>
      <c r="H399" s="30"/>
      <c r="I399" s="26"/>
      <c r="J399" s="23"/>
      <c r="K399" s="23"/>
      <c r="L399" s="23"/>
      <c r="M399" s="23"/>
      <c r="N399" s="23"/>
      <c r="O399" s="16"/>
      <c r="P399" s="23"/>
      <c r="Q399" s="28"/>
      <c r="R399" s="32"/>
      <c r="S399" s="28"/>
      <c r="T399" s="74"/>
      <c r="U399" s="26"/>
      <c r="V399" s="23"/>
      <c r="W399" s="23"/>
      <c r="X399" s="23"/>
      <c r="Y399" s="23"/>
      <c r="Z399" s="23"/>
      <c r="AA399" s="16"/>
      <c r="AB399" s="23"/>
      <c r="AC399" s="28"/>
      <c r="AD399" s="32"/>
      <c r="AE399" s="28"/>
      <c r="AF399" s="29"/>
      <c r="AG399" s="26"/>
      <c r="AH399" s="23"/>
      <c r="AI399" s="23"/>
      <c r="AJ399" s="23"/>
      <c r="AK399" s="23"/>
      <c r="AL399" s="23"/>
    </row>
    <row r="400" spans="1:39" ht="17.25" customHeight="1" x14ac:dyDescent="0.2">
      <c r="A400" s="50">
        <v>46374</v>
      </c>
      <c r="B400" s="60"/>
      <c r="C400" s="33"/>
      <c r="D400" s="4" t="s">
        <v>35</v>
      </c>
      <c r="E400" s="23"/>
      <c r="F400" s="32"/>
      <c r="G400" s="28"/>
      <c r="H400" s="30"/>
      <c r="I400" s="26"/>
      <c r="J400" s="23"/>
      <c r="K400" s="23"/>
      <c r="L400" s="23"/>
      <c r="M400" s="23"/>
      <c r="N400" s="23"/>
      <c r="O400" s="16"/>
      <c r="P400" s="23"/>
      <c r="Q400" s="28"/>
      <c r="R400" s="32"/>
      <c r="S400" s="28"/>
      <c r="T400" s="65"/>
      <c r="U400" s="26"/>
      <c r="V400" s="23"/>
      <c r="W400" s="23"/>
      <c r="X400" s="23"/>
      <c r="Y400" s="23"/>
      <c r="Z400" s="23"/>
      <c r="AA400" s="16"/>
      <c r="AB400" s="23"/>
      <c r="AC400" s="28"/>
      <c r="AD400" s="32"/>
      <c r="AE400" s="28"/>
      <c r="AF400" s="29"/>
      <c r="AG400" s="26"/>
      <c r="AH400" s="23"/>
      <c r="AI400" s="23"/>
      <c r="AJ400" s="23"/>
      <c r="AK400" s="23"/>
      <c r="AL400" s="23"/>
    </row>
    <row r="401" spans="1:39" ht="17.25" customHeight="1" x14ac:dyDescent="0.2">
      <c r="A401" s="50">
        <v>46375</v>
      </c>
      <c r="B401" s="60"/>
      <c r="C401" s="33"/>
      <c r="D401" s="4" t="s">
        <v>36</v>
      </c>
      <c r="E401" s="23"/>
      <c r="F401" s="32"/>
      <c r="G401" s="28"/>
      <c r="H401" s="30"/>
      <c r="I401" s="26"/>
      <c r="J401" s="23"/>
      <c r="K401" s="23"/>
      <c r="L401" s="23"/>
      <c r="M401" s="23"/>
      <c r="N401" s="23"/>
      <c r="O401" s="16"/>
      <c r="P401" s="23"/>
      <c r="Q401" s="28"/>
      <c r="R401" s="32"/>
      <c r="S401" s="28"/>
      <c r="T401" s="74"/>
      <c r="U401" s="26"/>
      <c r="V401" s="23"/>
      <c r="W401" s="23"/>
      <c r="X401" s="23"/>
      <c r="Y401" s="23"/>
      <c r="Z401" s="23"/>
      <c r="AA401" s="16"/>
      <c r="AB401" s="23"/>
      <c r="AC401" s="28"/>
      <c r="AD401" s="32"/>
      <c r="AE401" s="28"/>
      <c r="AF401" s="29"/>
      <c r="AG401" s="26"/>
      <c r="AH401" s="23"/>
      <c r="AI401" s="23"/>
      <c r="AJ401" s="23"/>
      <c r="AK401" s="23"/>
      <c r="AL401" s="23"/>
    </row>
    <row r="402" spans="1:39" ht="17.25" customHeight="1" x14ac:dyDescent="0.2">
      <c r="A402" s="50">
        <v>46376</v>
      </c>
      <c r="B402" s="60"/>
      <c r="C402" s="33"/>
      <c r="D402" s="4" t="s">
        <v>37</v>
      </c>
      <c r="E402" s="23"/>
      <c r="F402" s="32"/>
      <c r="G402" s="28"/>
      <c r="H402" s="30"/>
      <c r="I402" s="26"/>
      <c r="J402" s="23"/>
      <c r="K402" s="23"/>
      <c r="L402" s="23"/>
      <c r="M402" s="23"/>
      <c r="N402" s="23"/>
      <c r="O402" s="16"/>
      <c r="P402" s="23"/>
      <c r="Q402" s="28"/>
      <c r="R402" s="32"/>
      <c r="S402" s="28"/>
      <c r="T402" s="65"/>
      <c r="U402" s="26"/>
      <c r="V402" s="23"/>
      <c r="W402" s="23"/>
      <c r="X402" s="23"/>
      <c r="Y402" s="23"/>
      <c r="Z402" s="23"/>
      <c r="AA402" s="16"/>
      <c r="AB402" s="23"/>
      <c r="AC402" s="28"/>
      <c r="AD402" s="32"/>
      <c r="AE402" s="28"/>
      <c r="AF402" s="29"/>
      <c r="AG402" s="26"/>
      <c r="AH402" s="23"/>
      <c r="AI402" s="23"/>
      <c r="AJ402" s="23"/>
      <c r="AK402" s="23"/>
      <c r="AL402" s="23"/>
    </row>
    <row r="403" spans="1:39" ht="17.25" customHeight="1" x14ac:dyDescent="0.2">
      <c r="A403" s="48"/>
      <c r="B403" s="60"/>
      <c r="C403" s="77"/>
      <c r="D403" s="15"/>
      <c r="E403" s="14"/>
      <c r="F403" s="15"/>
      <c r="G403" s="16"/>
      <c r="H403" s="15"/>
      <c r="I403" s="17"/>
      <c r="J403" s="17"/>
      <c r="K403" s="17"/>
      <c r="L403" s="17"/>
      <c r="M403" s="17"/>
      <c r="N403" s="17"/>
      <c r="O403" s="15"/>
      <c r="P403" s="14"/>
      <c r="Q403" s="16"/>
      <c r="R403" s="15"/>
      <c r="S403" s="16"/>
      <c r="T403" s="15"/>
      <c r="U403" s="17"/>
      <c r="V403" s="17"/>
      <c r="W403" s="17"/>
      <c r="X403" s="17"/>
      <c r="Y403" s="17"/>
      <c r="Z403" s="17"/>
      <c r="AA403" s="15"/>
      <c r="AB403" s="14"/>
      <c r="AC403" s="16"/>
      <c r="AD403" s="15"/>
      <c r="AE403" s="16"/>
      <c r="AF403" s="15"/>
      <c r="AG403" s="17"/>
      <c r="AH403" s="17"/>
      <c r="AI403" s="17"/>
      <c r="AJ403" s="17"/>
      <c r="AK403" s="17"/>
      <c r="AL403" s="17"/>
      <c r="AM403" s="15"/>
    </row>
    <row r="404" spans="1:39" ht="17.25" customHeight="1" x14ac:dyDescent="0.2">
      <c r="A404" s="50">
        <v>46377</v>
      </c>
      <c r="B404" s="60"/>
      <c r="C404" s="33"/>
      <c r="D404" s="4" t="s">
        <v>19</v>
      </c>
      <c r="E404" s="23"/>
      <c r="F404" s="32"/>
      <c r="G404" s="28"/>
      <c r="H404" s="30"/>
      <c r="I404" s="26"/>
      <c r="J404" s="23"/>
      <c r="K404" s="23"/>
      <c r="L404" s="23"/>
      <c r="M404" s="23"/>
      <c r="N404" s="23"/>
      <c r="O404" s="16"/>
      <c r="P404" s="23"/>
      <c r="Q404" s="28"/>
      <c r="R404" s="32"/>
      <c r="S404" s="28"/>
      <c r="T404" s="74"/>
      <c r="U404" s="26"/>
      <c r="V404" s="23"/>
      <c r="W404" s="23"/>
      <c r="X404" s="23"/>
      <c r="Y404" s="23"/>
      <c r="Z404" s="23"/>
      <c r="AA404" s="16"/>
      <c r="AB404" s="23"/>
      <c r="AC404" s="28"/>
      <c r="AD404" s="32"/>
      <c r="AE404" s="28"/>
      <c r="AF404" s="29"/>
      <c r="AG404" s="26"/>
      <c r="AH404" s="23"/>
      <c r="AI404" s="23"/>
      <c r="AJ404" s="23"/>
      <c r="AK404" s="23"/>
      <c r="AL404" s="23"/>
    </row>
    <row r="405" spans="1:39" ht="17.25" customHeight="1" x14ac:dyDescent="0.2">
      <c r="A405" s="50">
        <v>46378</v>
      </c>
      <c r="C405" s="33"/>
      <c r="D405" s="4" t="s">
        <v>27</v>
      </c>
      <c r="E405" s="23"/>
      <c r="F405" s="32"/>
      <c r="G405" s="28"/>
      <c r="H405" s="30"/>
      <c r="I405" s="26"/>
      <c r="J405" s="23"/>
      <c r="K405" s="23"/>
      <c r="L405" s="23"/>
      <c r="M405" s="23"/>
      <c r="N405" s="23"/>
      <c r="O405" s="16"/>
      <c r="P405" s="23"/>
      <c r="Q405" s="28"/>
      <c r="R405" s="32"/>
      <c r="S405" s="28"/>
      <c r="T405" s="88"/>
      <c r="U405" s="26"/>
      <c r="V405" s="23"/>
      <c r="W405" s="23"/>
      <c r="X405" s="23"/>
      <c r="Y405" s="23"/>
      <c r="Z405" s="23"/>
      <c r="AA405" s="16"/>
      <c r="AB405" s="23"/>
      <c r="AC405" s="28"/>
      <c r="AD405" s="32"/>
      <c r="AE405" s="28"/>
      <c r="AF405" s="29"/>
      <c r="AG405" s="26"/>
      <c r="AH405" s="23"/>
      <c r="AI405" s="23"/>
      <c r="AJ405" s="23"/>
      <c r="AK405" s="23"/>
      <c r="AL405" s="23"/>
    </row>
    <row r="406" spans="1:39" ht="17.25" customHeight="1" x14ac:dyDescent="0.2">
      <c r="A406" s="50">
        <v>46379</v>
      </c>
      <c r="B406" s="60"/>
      <c r="C406" s="33"/>
      <c r="D406" s="4" t="s">
        <v>31</v>
      </c>
      <c r="E406" s="26"/>
      <c r="F406" s="32"/>
      <c r="G406" s="26"/>
      <c r="H406" s="26"/>
      <c r="I406" s="26"/>
      <c r="J406" s="23"/>
      <c r="K406" s="23"/>
      <c r="L406" s="23"/>
      <c r="M406" s="23"/>
      <c r="N406" s="23"/>
      <c r="O406" s="16"/>
      <c r="P406" s="23"/>
      <c r="Q406" s="28"/>
      <c r="R406" s="32"/>
      <c r="S406" s="28"/>
      <c r="T406" s="74"/>
      <c r="U406" s="26"/>
      <c r="V406" s="23"/>
      <c r="W406" s="23"/>
      <c r="X406" s="23"/>
      <c r="Y406" s="23"/>
      <c r="Z406" s="23"/>
      <c r="AA406" s="16"/>
      <c r="AB406" s="23"/>
      <c r="AC406" s="28"/>
      <c r="AD406" s="32"/>
      <c r="AE406" s="28"/>
      <c r="AF406" s="29"/>
      <c r="AG406" s="26"/>
      <c r="AH406" s="23"/>
      <c r="AI406" s="23"/>
      <c r="AJ406" s="23"/>
      <c r="AK406" s="23"/>
      <c r="AL406" s="23"/>
    </row>
    <row r="407" spans="1:39" ht="17.25" customHeight="1" x14ac:dyDescent="0.2">
      <c r="A407" s="50">
        <v>46380</v>
      </c>
      <c r="B407" s="60"/>
      <c r="C407" s="22">
        <f>C399+1</f>
        <v>52</v>
      </c>
      <c r="D407" s="4" t="s">
        <v>33</v>
      </c>
      <c r="E407" s="26"/>
      <c r="F407" s="32"/>
      <c r="G407" s="26"/>
      <c r="H407" s="26"/>
      <c r="I407" s="26"/>
      <c r="J407" s="23"/>
      <c r="K407" s="23"/>
      <c r="L407" s="23"/>
      <c r="M407" s="23"/>
      <c r="N407" s="23"/>
      <c r="O407" s="16"/>
      <c r="P407" s="23"/>
      <c r="Q407" s="28"/>
      <c r="R407" s="32"/>
      <c r="S407" s="28"/>
      <c r="T407" s="74"/>
      <c r="U407" s="26"/>
      <c r="V407" s="23"/>
      <c r="W407" s="23"/>
      <c r="X407" s="23"/>
      <c r="Y407" s="23"/>
      <c r="Z407" s="23"/>
      <c r="AA407" s="16"/>
      <c r="AB407" s="23"/>
      <c r="AC407" s="28"/>
      <c r="AD407" s="32"/>
      <c r="AE407" s="28"/>
      <c r="AF407" s="30"/>
      <c r="AG407" s="26"/>
      <c r="AH407" s="23"/>
      <c r="AI407" s="23"/>
      <c r="AJ407" s="23"/>
      <c r="AK407" s="23"/>
      <c r="AL407" s="23"/>
    </row>
    <row r="408" spans="1:39" ht="17.25" customHeight="1" x14ac:dyDescent="0.2">
      <c r="A408" s="50">
        <v>46381</v>
      </c>
      <c r="B408" s="60"/>
      <c r="C408" s="33"/>
      <c r="D408" s="4" t="s">
        <v>35</v>
      </c>
      <c r="E408" s="23"/>
      <c r="F408" s="32"/>
      <c r="G408" s="28"/>
      <c r="H408" s="30"/>
      <c r="I408" s="26"/>
      <c r="J408" s="23"/>
      <c r="K408" s="23"/>
      <c r="L408" s="23"/>
      <c r="M408" s="23"/>
      <c r="N408" s="23"/>
      <c r="O408" s="16"/>
      <c r="P408" s="23"/>
      <c r="Q408" s="28"/>
      <c r="R408" s="32"/>
      <c r="S408" s="28"/>
      <c r="T408" s="65"/>
      <c r="U408" s="26"/>
      <c r="V408" s="23"/>
      <c r="W408" s="23"/>
      <c r="X408" s="23"/>
      <c r="Y408" s="23"/>
      <c r="Z408" s="23"/>
      <c r="AA408" s="16"/>
      <c r="AB408" s="23"/>
      <c r="AC408" s="28"/>
      <c r="AD408" s="32"/>
      <c r="AE408" s="28"/>
      <c r="AF408" s="30"/>
      <c r="AG408" s="26"/>
      <c r="AH408" s="23"/>
      <c r="AI408" s="23"/>
      <c r="AJ408" s="23"/>
      <c r="AK408" s="23"/>
      <c r="AL408" s="23"/>
    </row>
    <row r="409" spans="1:39" ht="17.25" customHeight="1" x14ac:dyDescent="0.2">
      <c r="A409" s="50">
        <v>46382</v>
      </c>
      <c r="B409" s="60"/>
      <c r="C409" s="33"/>
      <c r="D409" s="4" t="s">
        <v>36</v>
      </c>
      <c r="E409" s="26"/>
      <c r="F409" s="32"/>
      <c r="G409" s="26"/>
      <c r="H409" s="26"/>
      <c r="I409" s="26"/>
      <c r="J409" s="23"/>
      <c r="K409" s="23"/>
      <c r="L409" s="23"/>
      <c r="M409" s="23"/>
      <c r="N409" s="23"/>
      <c r="P409" s="23"/>
      <c r="Q409" s="28"/>
      <c r="R409" s="32"/>
      <c r="S409" s="28"/>
      <c r="T409" s="74"/>
      <c r="U409" s="26"/>
      <c r="V409" s="23"/>
      <c r="W409" s="23"/>
      <c r="X409" s="23"/>
      <c r="Y409" s="23"/>
      <c r="Z409" s="23"/>
      <c r="AB409" s="23"/>
      <c r="AC409" s="28"/>
      <c r="AD409" s="32"/>
      <c r="AE409" s="28"/>
      <c r="AF409" s="30"/>
      <c r="AG409" s="26"/>
      <c r="AH409" s="23"/>
      <c r="AI409" s="23"/>
      <c r="AJ409" s="23"/>
      <c r="AK409" s="23"/>
      <c r="AL409" s="23"/>
    </row>
    <row r="410" spans="1:39" ht="17.25" customHeight="1" x14ac:dyDescent="0.2">
      <c r="A410" s="50">
        <v>46383</v>
      </c>
      <c r="B410" s="60"/>
      <c r="C410" s="33"/>
      <c r="D410" s="4" t="s">
        <v>37</v>
      </c>
      <c r="E410" s="23"/>
      <c r="F410" s="32"/>
      <c r="G410" s="37"/>
      <c r="H410" s="30"/>
      <c r="I410" s="26"/>
      <c r="J410" s="23"/>
      <c r="K410" s="23"/>
      <c r="L410" s="23"/>
      <c r="M410" s="23"/>
      <c r="N410" s="23"/>
      <c r="P410" s="23"/>
      <c r="Q410" s="28"/>
      <c r="R410" s="32"/>
      <c r="S410" s="28"/>
      <c r="T410" s="65"/>
      <c r="U410" s="26"/>
      <c r="V410" s="23"/>
      <c r="W410" s="23"/>
      <c r="X410" s="23"/>
      <c r="Y410" s="23"/>
      <c r="Z410" s="23"/>
      <c r="AB410" s="23"/>
      <c r="AC410" s="28"/>
      <c r="AD410" s="32"/>
      <c r="AE410" s="28"/>
      <c r="AF410" s="29"/>
      <c r="AG410" s="26"/>
      <c r="AH410" s="23"/>
      <c r="AI410" s="23"/>
      <c r="AJ410" s="23"/>
      <c r="AK410" s="23"/>
      <c r="AL410" s="23"/>
    </row>
    <row r="411" spans="1:39" ht="17.25" customHeight="1" x14ac:dyDescent="0.2">
      <c r="A411" s="48"/>
      <c r="B411" s="60"/>
      <c r="C411" s="77"/>
      <c r="D411" s="15"/>
      <c r="E411" s="14"/>
      <c r="F411" s="15"/>
      <c r="G411" s="16"/>
      <c r="H411" s="15"/>
      <c r="I411" s="17"/>
      <c r="J411" s="17"/>
      <c r="K411" s="17"/>
      <c r="L411" s="17"/>
      <c r="M411" s="17"/>
      <c r="N411" s="17"/>
      <c r="O411" s="15"/>
      <c r="P411" s="14"/>
      <c r="Q411" s="16"/>
      <c r="R411" s="15"/>
      <c r="S411" s="16"/>
      <c r="T411" s="15"/>
      <c r="U411" s="17"/>
      <c r="V411" s="17"/>
      <c r="W411" s="17"/>
      <c r="X411" s="17"/>
      <c r="Y411" s="17"/>
      <c r="Z411" s="17"/>
      <c r="AA411" s="15"/>
      <c r="AB411" s="14"/>
      <c r="AC411" s="16"/>
      <c r="AD411" s="15"/>
      <c r="AE411" s="16"/>
      <c r="AF411" s="15"/>
      <c r="AG411" s="17"/>
      <c r="AH411" s="17"/>
      <c r="AI411" s="17"/>
      <c r="AJ411" s="17"/>
      <c r="AK411" s="17"/>
      <c r="AL411" s="17"/>
      <c r="AM411" s="15"/>
    </row>
    <row r="412" spans="1:39" ht="17.25" customHeight="1" x14ac:dyDescent="0.2">
      <c r="A412" s="50">
        <v>46384</v>
      </c>
      <c r="B412" s="60" t="s">
        <v>205</v>
      </c>
      <c r="C412" s="33"/>
      <c r="D412" s="4" t="s">
        <v>19</v>
      </c>
      <c r="E412" s="23"/>
      <c r="F412" s="32"/>
      <c r="G412" s="28"/>
      <c r="H412" s="30"/>
      <c r="I412" s="26"/>
      <c r="J412" s="23"/>
      <c r="K412" s="23"/>
      <c r="L412" s="23"/>
      <c r="M412" s="23"/>
      <c r="N412" s="23"/>
      <c r="P412" s="23"/>
      <c r="Q412" s="28"/>
      <c r="R412" s="32"/>
      <c r="S412" s="28"/>
      <c r="T412" s="74"/>
      <c r="U412" s="26"/>
      <c r="V412" s="23"/>
      <c r="W412" s="23"/>
      <c r="X412" s="23"/>
      <c r="Y412" s="23"/>
      <c r="Z412" s="23"/>
      <c r="AA412" s="16"/>
      <c r="AB412" s="23"/>
      <c r="AC412" s="28"/>
      <c r="AD412" s="32"/>
      <c r="AE412" s="28"/>
      <c r="AF412" s="29"/>
      <c r="AG412" s="26"/>
      <c r="AH412" s="23"/>
      <c r="AI412" s="23"/>
      <c r="AJ412" s="23"/>
      <c r="AK412" s="23"/>
      <c r="AL412" s="23"/>
    </row>
    <row r="413" spans="1:39" ht="17.25" customHeight="1" x14ac:dyDescent="0.2">
      <c r="A413" s="50">
        <v>46385</v>
      </c>
      <c r="B413" s="60"/>
      <c r="C413" s="33"/>
      <c r="D413" s="4" t="s">
        <v>27</v>
      </c>
      <c r="E413" s="23"/>
      <c r="F413" s="32"/>
      <c r="G413" s="28"/>
      <c r="H413" s="29"/>
      <c r="I413" s="26"/>
      <c r="J413" s="23"/>
      <c r="K413" s="23"/>
      <c r="L413" s="23"/>
      <c r="M413" s="23"/>
      <c r="N413" s="23"/>
      <c r="P413" s="23"/>
      <c r="Q413" s="28"/>
      <c r="R413" s="32"/>
      <c r="S413" s="28"/>
      <c r="T413" s="88"/>
      <c r="U413" s="26"/>
      <c r="V413" s="23"/>
      <c r="W413" s="23"/>
      <c r="X413" s="23"/>
      <c r="Y413" s="23"/>
      <c r="Z413" s="23"/>
      <c r="AA413" s="16"/>
      <c r="AB413" s="23"/>
      <c r="AC413" s="28"/>
      <c r="AD413" s="32"/>
      <c r="AE413" s="28"/>
      <c r="AF413" s="29"/>
      <c r="AG413" s="26"/>
      <c r="AH413" s="23"/>
      <c r="AI413" s="23"/>
      <c r="AJ413" s="23"/>
      <c r="AK413" s="23"/>
      <c r="AL413" s="23"/>
    </row>
    <row r="414" spans="1:39" ht="17.25" customHeight="1" x14ac:dyDescent="0.2">
      <c r="A414" s="50">
        <v>46386</v>
      </c>
      <c r="B414" s="60"/>
      <c r="C414" s="33"/>
      <c r="D414" s="4" t="s">
        <v>31</v>
      </c>
      <c r="E414" s="23"/>
      <c r="F414" s="32"/>
      <c r="G414" s="37"/>
      <c r="H414" s="30"/>
      <c r="I414" s="26"/>
      <c r="J414" s="23"/>
      <c r="K414" s="23"/>
      <c r="L414" s="23"/>
      <c r="M414" s="23"/>
      <c r="N414" s="23"/>
      <c r="P414" s="23"/>
      <c r="Q414" s="28"/>
      <c r="R414" s="32"/>
      <c r="S414" s="28"/>
      <c r="T414" s="74"/>
      <c r="U414" s="26"/>
      <c r="V414" s="23"/>
      <c r="W414" s="23"/>
      <c r="X414" s="23"/>
      <c r="Y414" s="23"/>
      <c r="Z414" s="23"/>
      <c r="AA414" s="16"/>
      <c r="AB414" s="23"/>
      <c r="AC414" s="28"/>
      <c r="AD414" s="32"/>
      <c r="AE414" s="28"/>
      <c r="AF414" s="29"/>
      <c r="AG414" s="26"/>
      <c r="AH414" s="23"/>
      <c r="AI414" s="23"/>
      <c r="AJ414" s="23"/>
      <c r="AK414" s="23"/>
      <c r="AL414" s="23"/>
    </row>
    <row r="415" spans="1:39" ht="17.25" customHeight="1" x14ac:dyDescent="0.2">
      <c r="A415" s="50">
        <v>46387</v>
      </c>
      <c r="B415" s="60"/>
      <c r="C415" s="22">
        <v>1</v>
      </c>
      <c r="D415" s="4" t="s">
        <v>33</v>
      </c>
      <c r="E415" s="23"/>
      <c r="F415" s="32"/>
      <c r="G415" s="28"/>
      <c r="H415" s="30"/>
      <c r="I415" s="26"/>
      <c r="J415" s="23"/>
      <c r="K415" s="23"/>
      <c r="L415" s="23"/>
      <c r="M415" s="23"/>
      <c r="N415" s="23"/>
      <c r="P415" s="23"/>
      <c r="Q415" s="28"/>
      <c r="R415" s="32"/>
      <c r="S415" s="28"/>
      <c r="T415" s="74"/>
      <c r="U415" s="26"/>
      <c r="V415" s="23"/>
      <c r="W415" s="23"/>
      <c r="X415" s="23"/>
      <c r="Y415" s="23"/>
      <c r="Z415" s="23"/>
      <c r="AA415" s="16"/>
      <c r="AB415" s="23"/>
      <c r="AC415" s="28"/>
      <c r="AD415" s="32"/>
      <c r="AE415" s="28"/>
      <c r="AF415" s="29"/>
      <c r="AG415" s="26"/>
      <c r="AH415" s="23"/>
      <c r="AI415" s="23"/>
      <c r="AJ415" s="23"/>
      <c r="AK415" s="23"/>
      <c r="AL415" s="23"/>
    </row>
    <row r="416" spans="1:39" ht="17.25" customHeight="1" x14ac:dyDescent="0.2">
      <c r="A416" s="50">
        <v>46388</v>
      </c>
      <c r="B416" s="60"/>
      <c r="C416" s="33"/>
      <c r="D416" s="4" t="s">
        <v>35</v>
      </c>
      <c r="E416" s="23"/>
      <c r="F416" s="32"/>
      <c r="G416" s="28"/>
      <c r="H416" s="30"/>
      <c r="I416" s="26"/>
      <c r="J416" s="23"/>
      <c r="K416" s="23"/>
      <c r="L416" s="23"/>
      <c r="M416" s="23"/>
      <c r="N416" s="23"/>
      <c r="P416" s="23"/>
      <c r="Q416" s="28"/>
      <c r="R416" s="32"/>
      <c r="S416" s="28"/>
      <c r="T416" s="65"/>
      <c r="U416" s="26"/>
      <c r="V416" s="23"/>
      <c r="W416" s="23"/>
      <c r="X416" s="23"/>
      <c r="Y416" s="23"/>
      <c r="Z416" s="23"/>
      <c r="AA416" s="16"/>
      <c r="AB416" s="23"/>
      <c r="AC416" s="28"/>
      <c r="AD416" s="32"/>
      <c r="AE416" s="28"/>
      <c r="AF416" s="29"/>
      <c r="AG416" s="26"/>
      <c r="AH416" s="23"/>
      <c r="AI416" s="23"/>
      <c r="AJ416" s="23"/>
      <c r="AK416" s="23"/>
      <c r="AL416" s="23"/>
    </row>
    <row r="417" spans="1:38" ht="17.25" customHeight="1" x14ac:dyDescent="0.2">
      <c r="A417" s="50">
        <v>46389</v>
      </c>
      <c r="B417" s="60"/>
      <c r="C417" s="33"/>
      <c r="D417" s="4" t="s">
        <v>36</v>
      </c>
      <c r="E417" s="23"/>
      <c r="F417" s="32"/>
      <c r="G417" s="28"/>
      <c r="H417" s="30"/>
      <c r="I417" s="26"/>
      <c r="J417" s="23"/>
      <c r="K417" s="23"/>
      <c r="L417" s="23"/>
      <c r="M417" s="23"/>
      <c r="N417" s="23"/>
      <c r="P417" s="23"/>
      <c r="Q417" s="28"/>
      <c r="R417" s="32"/>
      <c r="S417" s="28"/>
      <c r="T417" s="74"/>
      <c r="U417" s="26"/>
      <c r="V417" s="23"/>
      <c r="W417" s="23"/>
      <c r="X417" s="23"/>
      <c r="Y417" s="23"/>
      <c r="Z417" s="23"/>
      <c r="AB417" s="23"/>
      <c r="AC417" s="28"/>
      <c r="AD417" s="32"/>
      <c r="AE417" s="28"/>
      <c r="AF417" s="29"/>
      <c r="AG417" s="26"/>
      <c r="AH417" s="23"/>
      <c r="AI417" s="23"/>
      <c r="AJ417" s="23"/>
      <c r="AK417" s="23"/>
      <c r="AL417" s="23"/>
    </row>
    <row r="418" spans="1:38" ht="17.25" customHeight="1" x14ac:dyDescent="0.2">
      <c r="A418" s="50">
        <v>46390</v>
      </c>
      <c r="B418" s="60"/>
      <c r="C418" s="33"/>
      <c r="D418" s="4" t="s">
        <v>37</v>
      </c>
      <c r="E418" s="23"/>
      <c r="F418" s="32"/>
      <c r="G418" s="37"/>
      <c r="H418" s="30"/>
      <c r="I418" s="26"/>
      <c r="J418" s="23"/>
      <c r="K418" s="23"/>
      <c r="L418" s="23"/>
      <c r="M418" s="23"/>
      <c r="N418" s="23"/>
      <c r="P418" s="23"/>
      <c r="Q418" s="28"/>
      <c r="R418" s="32"/>
      <c r="S418" s="28"/>
      <c r="T418" s="65"/>
      <c r="U418" s="26"/>
      <c r="V418" s="23"/>
      <c r="W418" s="23"/>
      <c r="X418" s="23"/>
      <c r="Y418" s="23"/>
      <c r="Z418" s="23"/>
      <c r="AB418" s="23"/>
      <c r="AC418" s="28"/>
      <c r="AD418" s="32"/>
      <c r="AE418" s="28"/>
      <c r="AF418" s="29"/>
      <c r="AG418" s="26"/>
      <c r="AH418" s="23"/>
      <c r="AI418" s="23"/>
      <c r="AJ418" s="23"/>
      <c r="AK418" s="23"/>
      <c r="AL418" s="23"/>
    </row>
    <row r="419" spans="1:38" ht="17.25" customHeight="1" x14ac:dyDescent="0.2">
      <c r="A419" s="15"/>
      <c r="B419" s="60"/>
      <c r="C419" s="4"/>
      <c r="D419" s="4"/>
      <c r="E419" s="14"/>
      <c r="F419" s="60"/>
      <c r="G419" s="103"/>
      <c r="H419" s="15"/>
      <c r="J419" s="17"/>
      <c r="K419" s="17"/>
      <c r="L419" s="17"/>
      <c r="M419" s="17"/>
      <c r="N419" s="17"/>
      <c r="P419" s="14"/>
      <c r="Q419" s="103"/>
      <c r="R419" s="15"/>
      <c r="V419" s="17"/>
      <c r="W419" s="17"/>
      <c r="X419" s="17"/>
      <c r="Y419" s="17"/>
      <c r="Z419" s="17"/>
      <c r="AB419" s="14"/>
      <c r="AC419" s="103"/>
      <c r="AH419" s="17"/>
      <c r="AI419" s="17"/>
      <c r="AJ419" s="17"/>
      <c r="AK419" s="17"/>
      <c r="AL419" s="17"/>
    </row>
    <row r="420" spans="1:38" ht="17.25" customHeight="1" x14ac:dyDescent="0.2">
      <c r="A420" s="4"/>
      <c r="B420" s="4"/>
      <c r="C420" s="4"/>
      <c r="D420" s="15"/>
      <c r="E420" s="14"/>
      <c r="F420" s="4"/>
      <c r="G420" s="1"/>
      <c r="H420" s="15"/>
      <c r="J420" s="17"/>
      <c r="K420" s="17"/>
      <c r="L420" s="17"/>
      <c r="M420" s="17"/>
      <c r="N420" s="17"/>
      <c r="V420" s="17"/>
      <c r="W420" s="17"/>
      <c r="X420" s="17"/>
      <c r="Y420" s="17"/>
      <c r="Z420" s="17"/>
      <c r="AH420" s="17"/>
      <c r="AI420" s="17"/>
      <c r="AJ420" s="17"/>
      <c r="AK420" s="17"/>
      <c r="AL420" s="17"/>
    </row>
    <row r="421" spans="1:38" ht="17.25" customHeight="1" x14ac:dyDescent="0.2">
      <c r="D421" s="4"/>
    </row>
    <row r="422" spans="1:38" ht="17.25" customHeight="1" x14ac:dyDescent="0.2">
      <c r="D422" s="4"/>
    </row>
    <row r="423" spans="1:38" ht="17.25" customHeight="1" x14ac:dyDescent="0.2">
      <c r="D423" s="4"/>
    </row>
    <row r="424" spans="1:38" ht="17.25" customHeight="1" x14ac:dyDescent="0.2">
      <c r="D424" s="4"/>
    </row>
    <row r="425" spans="1:38" ht="17.25" customHeight="1" x14ac:dyDescent="0.2">
      <c r="D425" s="4"/>
    </row>
    <row r="426" spans="1:38" ht="17.25" customHeight="1" x14ac:dyDescent="0.2">
      <c r="D426" s="4"/>
    </row>
    <row r="427" spans="1:38" ht="17.25" customHeight="1" x14ac:dyDescent="0.2">
      <c r="D427" s="4"/>
    </row>
    <row r="428" spans="1:38" ht="17.25" customHeight="1" x14ac:dyDescent="0.2">
      <c r="D428" s="4"/>
    </row>
    <row r="429" spans="1:38" ht="17.25" customHeight="1" x14ac:dyDescent="0.2">
      <c r="D429" s="4"/>
    </row>
    <row r="430" spans="1:38" ht="17.25" customHeight="1" x14ac:dyDescent="0.2">
      <c r="D430" s="4"/>
    </row>
    <row r="431" spans="1:38" ht="17.25" customHeight="1" x14ac:dyDescent="0.2">
      <c r="D431" s="4"/>
    </row>
    <row r="432" spans="1:38" ht="17.25" customHeight="1" x14ac:dyDescent="0.2">
      <c r="D432" s="4"/>
    </row>
    <row r="433" spans="4:4" ht="17.25" customHeight="1" x14ac:dyDescent="0.2">
      <c r="D433" s="4"/>
    </row>
    <row r="434" spans="4:4" ht="17.25" customHeight="1" x14ac:dyDescent="0.2">
      <c r="D434" s="4"/>
    </row>
    <row r="435" spans="4:4" ht="17.25" customHeight="1" x14ac:dyDescent="0.2">
      <c r="D435" s="4"/>
    </row>
    <row r="436" spans="4:4" ht="17.25" customHeight="1" x14ac:dyDescent="0.2">
      <c r="D436" s="4"/>
    </row>
    <row r="437" spans="4:4" ht="17.25" customHeight="1" x14ac:dyDescent="0.2">
      <c r="D437" s="4"/>
    </row>
    <row r="438" spans="4:4" ht="17.25" customHeight="1" x14ac:dyDescent="0.2">
      <c r="D438" s="4"/>
    </row>
    <row r="439" spans="4:4" ht="17.25" customHeight="1" x14ac:dyDescent="0.2">
      <c r="D439" s="4"/>
    </row>
    <row r="440" spans="4:4" ht="17.25" customHeight="1" x14ac:dyDescent="0.2">
      <c r="D440" s="4"/>
    </row>
    <row r="441" spans="4:4" ht="17.25" customHeight="1" x14ac:dyDescent="0.2">
      <c r="D441" s="4"/>
    </row>
    <row r="442" spans="4:4" ht="17.25" customHeight="1" x14ac:dyDescent="0.2">
      <c r="D442" s="4"/>
    </row>
    <row r="443" spans="4:4" ht="17.25" customHeight="1" x14ac:dyDescent="0.2">
      <c r="D443" s="4"/>
    </row>
    <row r="444" spans="4:4" ht="17.25" customHeight="1" x14ac:dyDescent="0.2">
      <c r="D444" s="4"/>
    </row>
    <row r="445" spans="4:4" ht="17.25" customHeight="1" x14ac:dyDescent="0.2">
      <c r="D445" s="4"/>
    </row>
    <row r="446" spans="4:4" ht="17.25" customHeight="1" x14ac:dyDescent="0.2">
      <c r="D446" s="4"/>
    </row>
    <row r="447" spans="4:4" ht="17.25" customHeight="1" x14ac:dyDescent="0.2">
      <c r="D447" s="4"/>
    </row>
    <row r="448" spans="4:4" ht="17.25" customHeight="1" x14ac:dyDescent="0.2">
      <c r="D448" s="4"/>
    </row>
    <row r="449" spans="4:4" ht="17.25" customHeight="1" x14ac:dyDescent="0.2">
      <c r="D449" s="4"/>
    </row>
    <row r="450" spans="4:4" ht="17.25" customHeight="1" x14ac:dyDescent="0.2">
      <c r="D450" s="4"/>
    </row>
    <row r="451" spans="4:4" ht="17.25" customHeight="1" x14ac:dyDescent="0.2">
      <c r="D451" s="4"/>
    </row>
    <row r="452" spans="4:4" ht="17.25" customHeight="1" x14ac:dyDescent="0.2">
      <c r="D452" s="4"/>
    </row>
    <row r="453" spans="4:4" ht="17.25" customHeight="1" x14ac:dyDescent="0.2">
      <c r="D453" s="4"/>
    </row>
    <row r="454" spans="4:4" ht="17.25" customHeight="1" x14ac:dyDescent="0.2">
      <c r="D454" s="4"/>
    </row>
    <row r="455" spans="4:4" ht="17.25" customHeight="1" x14ac:dyDescent="0.2">
      <c r="D455" s="4"/>
    </row>
    <row r="456" spans="4:4" ht="17.25" customHeight="1" x14ac:dyDescent="0.2">
      <c r="D456" s="4"/>
    </row>
    <row r="457" spans="4:4" ht="17.25" customHeight="1" x14ac:dyDescent="0.2">
      <c r="D457" s="4"/>
    </row>
    <row r="458" spans="4:4" ht="17.25" customHeight="1" x14ac:dyDescent="0.2">
      <c r="D458" s="4"/>
    </row>
    <row r="459" spans="4:4" ht="17.25" customHeight="1" x14ac:dyDescent="0.2">
      <c r="D459" s="4"/>
    </row>
    <row r="460" spans="4:4" ht="17.25" customHeight="1" x14ac:dyDescent="0.2">
      <c r="D460" s="4"/>
    </row>
    <row r="461" spans="4:4" ht="17.25" customHeight="1" x14ac:dyDescent="0.2">
      <c r="D461" s="15"/>
    </row>
    <row r="462" spans="4:4" ht="17.25" customHeight="1" x14ac:dyDescent="0.2">
      <c r="D462" s="4"/>
    </row>
    <row r="463" spans="4:4" ht="17.25" customHeight="1" x14ac:dyDescent="0.2">
      <c r="D463" s="4"/>
    </row>
    <row r="464" spans="4:4" ht="17.25" customHeight="1" x14ac:dyDescent="0.2">
      <c r="D464" s="4"/>
    </row>
    <row r="465" spans="4:4" ht="17.25" customHeight="1" x14ac:dyDescent="0.2">
      <c r="D465" s="4"/>
    </row>
    <row r="466" spans="4:4" ht="17.25" customHeight="1" x14ac:dyDescent="0.2">
      <c r="D466" s="4"/>
    </row>
    <row r="467" spans="4:4" ht="17.25" customHeight="1" x14ac:dyDescent="0.2">
      <c r="D467" s="4"/>
    </row>
    <row r="468" spans="4:4" ht="17.25" customHeight="1" x14ac:dyDescent="0.2">
      <c r="D468" s="4"/>
    </row>
    <row r="469" spans="4:4" ht="17.25" customHeight="1" x14ac:dyDescent="0.2">
      <c r="D469" s="4"/>
    </row>
    <row r="470" spans="4:4" ht="17.25" customHeight="1" x14ac:dyDescent="0.2">
      <c r="D470" s="4"/>
    </row>
    <row r="471" spans="4:4" ht="17.25" customHeight="1" x14ac:dyDescent="0.2">
      <c r="D471" s="4"/>
    </row>
    <row r="472" spans="4:4" ht="17.25" customHeight="1" x14ac:dyDescent="0.2">
      <c r="D472" s="4"/>
    </row>
    <row r="473" spans="4:4" ht="17.25" customHeight="1" x14ac:dyDescent="0.2">
      <c r="D473" s="4"/>
    </row>
    <row r="474" spans="4:4" ht="17.25" customHeight="1" x14ac:dyDescent="0.2">
      <c r="D474" s="4"/>
    </row>
    <row r="475" spans="4:4" ht="17.25" customHeight="1" x14ac:dyDescent="0.2">
      <c r="D475" s="4"/>
    </row>
    <row r="476" spans="4:4" ht="17.25" customHeight="1" x14ac:dyDescent="0.2">
      <c r="D476" s="4"/>
    </row>
    <row r="477" spans="4:4" ht="17.25" customHeight="1" x14ac:dyDescent="0.2">
      <c r="D477" s="4"/>
    </row>
    <row r="478" spans="4:4" ht="17.25" customHeight="1" x14ac:dyDescent="0.2">
      <c r="D478" s="4"/>
    </row>
    <row r="479" spans="4:4" ht="17.25" customHeight="1" x14ac:dyDescent="0.2">
      <c r="D479" s="4"/>
    </row>
    <row r="480" spans="4:4" ht="17.25" customHeight="1" x14ac:dyDescent="0.2">
      <c r="D480" s="4"/>
    </row>
    <row r="481" spans="4:4" ht="17.25" customHeight="1" x14ac:dyDescent="0.2">
      <c r="D481" s="4"/>
    </row>
    <row r="482" spans="4:4" ht="17.25" customHeight="1" x14ac:dyDescent="0.2">
      <c r="D482" s="4"/>
    </row>
    <row r="483" spans="4:4" ht="17.25" customHeight="1" x14ac:dyDescent="0.2">
      <c r="D483" s="4"/>
    </row>
    <row r="484" spans="4:4" ht="17.25" customHeight="1" x14ac:dyDescent="0.2">
      <c r="D484" s="4"/>
    </row>
    <row r="485" spans="4:4" ht="17.25" customHeight="1" x14ac:dyDescent="0.2">
      <c r="D485" s="4"/>
    </row>
    <row r="486" spans="4:4" ht="17.25" customHeight="1" x14ac:dyDescent="0.2">
      <c r="D486" s="4"/>
    </row>
    <row r="487" spans="4:4" ht="17.25" customHeight="1" x14ac:dyDescent="0.2">
      <c r="D487" s="4"/>
    </row>
    <row r="488" spans="4:4" ht="17.25" customHeight="1" x14ac:dyDescent="0.2">
      <c r="D488" s="4"/>
    </row>
    <row r="489" spans="4:4" ht="17.25" customHeight="1" x14ac:dyDescent="0.2">
      <c r="D489" s="4"/>
    </row>
    <row r="490" spans="4:4" ht="17.25" customHeight="1" x14ac:dyDescent="0.2">
      <c r="D490" s="4"/>
    </row>
    <row r="491" spans="4:4" ht="17.25" customHeight="1" x14ac:dyDescent="0.2">
      <c r="D491" s="4"/>
    </row>
    <row r="492" spans="4:4" ht="17.25" customHeight="1" x14ac:dyDescent="0.2">
      <c r="D492" s="4"/>
    </row>
  </sheetData>
  <mergeCells count="3">
    <mergeCell ref="E1:I1"/>
    <mergeCell ref="P1:U1"/>
    <mergeCell ref="AB1:AG1"/>
  </mergeCells>
  <conditionalFormatting sqref="A1:A2">
    <cfRule type="timePeriod" dxfId="6525" priority="6025" timePeriod="today">
      <formula>FLOOR(A1,1)=TODAY()</formula>
    </cfRule>
  </conditionalFormatting>
  <conditionalFormatting sqref="A421:A424 A3:A418">
    <cfRule type="timePeriod" dxfId="6524" priority="9412" timePeriod="today">
      <formula>FLOOR(A3,1)=TODAY()</formula>
    </cfRule>
  </conditionalFormatting>
  <conditionalFormatting sqref="A412:B1048576 A187:C194 A219:C243 A267:C275 A291:C299 A323:C331 A356:C363 A395:C403 B354:D354 B181:B186 B196 B198:B202 B204:B205 B207:B210 B212 B214:B218 B245:B247 B262:B266 B276 B278:B282 A285:B290 B300 B302:B306 B308:B310 B312:B314 B316:B317 B319:B322 B332 B334:B338 B340:B345 B348:B352 B364 A389:B394 B404 B406:B410 AN1:XFD2 AN4:XFD11 AL3:XFD3">
    <cfRule type="containsText" dxfId="6523" priority="6029" operator="containsText" text="[pluk]">
      <formula>NOT(ISERROR(SEARCH("[pluk]",A1)))</formula>
    </cfRule>
  </conditionalFormatting>
  <conditionalFormatting sqref="A1:L2 N1:X2 Z1:AJ2 U44:X44 S57:T57 P45:Q50 P57:Q57 AN412:XFD1048576 AL3:AM3 AN3:XFD11 AL1:XFD2">
    <cfRule type="cellIs" dxfId="6522" priority="6024" operator="equal">
      <formula>"_"</formula>
    </cfRule>
  </conditionalFormatting>
  <conditionalFormatting sqref="A1:L2 N1:X2 Z1:AJ2 AN409:XFD411 AN169:XFD195 AN201:XFD227 AN233:XFD259 AN265:XFD299 AN305:XFD331 AN337:XFD363 AN369:XFD403 AL421:AM1048576 AN417:XFD1048576 AN17:XFD19 AN25:XFD163 B366:B370 B378 B412 B372:B376 B380 Q45:Q50 P28:P43 S47:X47 S57:T57 P45:P55 P57:Q57 B382:B386 S45:S46 U44:X46 AN4:XFD11 AL1:XFD3">
    <cfRule type="containsText" dxfId="6521" priority="6016" operator="containsText" text="[adv]">
      <formula>NOT(ISERROR(SEARCH("[adv]",A1)))</formula>
    </cfRule>
  </conditionalFormatting>
  <conditionalFormatting sqref="A1:L2 Z1:AJ2 N1:X3 AL1:AM2 AN19:XFD19 AN25:XFD96 U44:X44 P45:Q50 P57:Q57 S57:T57 AN124:XFD1048576 B366:B370 B372:B376 B378 B380 B382:B386 B412 AL421:AM1048576">
    <cfRule type="containsText" dxfId="6520" priority="6018" operator="containsText" text="[pluk]">
      <formula>NOT(ISERROR(SEARCH("[pluk]",A1)))</formula>
    </cfRule>
  </conditionalFormatting>
  <conditionalFormatting sqref="B12">
    <cfRule type="containsText" dxfId="6519" priority="3564" operator="containsText" text="[adv]">
      <formula>NOT(ISERROR(SEARCH("[adv]",B12)))</formula>
    </cfRule>
  </conditionalFormatting>
  <conditionalFormatting sqref="B12:B67 B69:B86 B137:B171 B173:B176 B88:B135">
    <cfRule type="containsText" dxfId="6518" priority="6032" operator="containsText" text="[adv]">
      <formula>NOT(ISERROR(SEARCH("[adv]",B12)))</formula>
    </cfRule>
  </conditionalFormatting>
  <conditionalFormatting sqref="B23">
    <cfRule type="notContainsBlanks" dxfId="6517" priority="6036">
      <formula>LEN(TRIM(B23))&gt;0</formula>
    </cfRule>
  </conditionalFormatting>
  <conditionalFormatting sqref="B87">
    <cfRule type="cellIs" dxfId="6516" priority="39" operator="equal">
      <formula>"_"</formula>
    </cfRule>
    <cfRule type="containsText" dxfId="6515" priority="40" operator="containsText" text="[adv]">
      <formula>NOT(ISERROR(SEARCH("[adv]",B87)))</formula>
    </cfRule>
    <cfRule type="containsText" dxfId="6514" priority="41" operator="containsText" text="[pluk]">
      <formula>NOT(ISERROR(SEARCH("[pluk]",B87)))</formula>
    </cfRule>
  </conditionalFormatting>
  <conditionalFormatting sqref="B178">
    <cfRule type="containsText" dxfId="6513" priority="6031" operator="containsText" text="[adv]">
      <formula>NOT(ISERROR(SEARCH("[adv]",B178)))</formula>
    </cfRule>
  </conditionalFormatting>
  <conditionalFormatting sqref="B179">
    <cfRule type="containsText" dxfId="6512" priority="2464" operator="containsText" text="[adv]">
      <formula>NOT(ISERROR(SEARCH("[adv]",B179)))</formula>
    </cfRule>
  </conditionalFormatting>
  <conditionalFormatting sqref="B181:B186 B198:B202 B214:B218 B249 B252:B258 B262:B266 B285:B290 B302:B306 B319:B322 B334:B338 B354 B389:B394 B406:B410 B188:B194 B196 B204:B205 B212 B220:B226 B228:B234 B236:B242 B245:B247 B260 B268:B274 B276 B292:B298 B300 B308:B310 B316:B317 B324:B330 B332 B340:B345 B348:B352 B356:B362 B364 B396:B402 B404 B412:B419 B207:B210 B278:B282 B312:B314">
    <cfRule type="containsText" dxfId="6511" priority="6033" operator="containsText" text="[adv]">
      <formula>NOT(ISERROR(SEARCH("[adv]",B181)))</formula>
    </cfRule>
  </conditionalFormatting>
  <conditionalFormatting sqref="B181:B186 B198:B202 B214:B218 B262:B266 B285:B290 B302:B306 B319:B322 B334:B338 B354 B389:B394 B406:B410 B249 B252:B258 B188:B194 B196 B204:B205 B212 B220:B226 B228:B234 B236:B242 B245:B247 B260 B268:B274 B276 B292:B298 B300 B308:B310 B316:B317 B324:B330 B332 B340:B345 B348:B352 B356:B362 B364 B396:B402 B404 B412:B419 B207:B210 B278:B282 B312:B314">
    <cfRule type="cellIs" dxfId="6510" priority="6030" operator="equal">
      <formula>"_"</formula>
    </cfRule>
  </conditionalFormatting>
  <conditionalFormatting sqref="B187">
    <cfRule type="containsText" dxfId="6509" priority="2434" operator="containsText" text="[adv]">
      <formula>NOT(ISERROR(SEARCH("[adv]",B187)))</formula>
    </cfRule>
  </conditionalFormatting>
  <conditionalFormatting sqref="B195">
    <cfRule type="containsText" dxfId="6508" priority="2402" operator="containsText" text="[adv]">
      <formula>NOT(ISERROR(SEARCH("[adv]",B195)))</formula>
    </cfRule>
  </conditionalFormatting>
  <conditionalFormatting sqref="B203">
    <cfRule type="containsText" dxfId="6507" priority="2371" operator="containsText" text="[adv]">
      <formula>NOT(ISERROR(SEARCH("[adv]",B203)))</formula>
    </cfRule>
  </conditionalFormatting>
  <conditionalFormatting sqref="B211">
    <cfRule type="containsText" dxfId="6506" priority="2339" operator="containsText" text="[adv]">
      <formula>NOT(ISERROR(SEARCH("[adv]",B211)))</formula>
    </cfRule>
  </conditionalFormatting>
  <conditionalFormatting sqref="B219">
    <cfRule type="containsText" dxfId="6505" priority="2308" operator="containsText" text="[adv]">
      <formula>NOT(ISERROR(SEARCH("[adv]",B219)))</formula>
    </cfRule>
  </conditionalFormatting>
  <conditionalFormatting sqref="B227">
    <cfRule type="containsText" dxfId="6504" priority="2276" operator="containsText" text="[adv]">
      <formula>NOT(ISERROR(SEARCH("[adv]",B227)))</formula>
    </cfRule>
  </conditionalFormatting>
  <conditionalFormatting sqref="B235">
    <cfRule type="containsText" dxfId="6503" priority="2245" operator="containsText" text="[adv]">
      <formula>NOT(ISERROR(SEARCH("[adv]",B235)))</formula>
    </cfRule>
  </conditionalFormatting>
  <conditionalFormatting sqref="B243">
    <cfRule type="containsText" dxfId="6502" priority="2213" operator="containsText" text="[adv]">
      <formula>NOT(ISERROR(SEARCH("[adv]",B243)))</formula>
    </cfRule>
  </conditionalFormatting>
  <conditionalFormatting sqref="B249:B250 A252:C258 B260">
    <cfRule type="containsText" dxfId="6501" priority="6028" operator="containsText" text="[pluk]">
      <formula>NOT(ISERROR(SEARCH("[pluk]",A249)))</formula>
    </cfRule>
  </conditionalFormatting>
  <conditionalFormatting sqref="B250">
    <cfRule type="cellIs" dxfId="6500" priority="6026" operator="equal">
      <formula>"_"</formula>
    </cfRule>
    <cfRule type="containsText" dxfId="6499" priority="6027" operator="containsText" text="[adv]">
      <formula>NOT(ISERROR(SEARCH("[adv]",B250)))</formula>
    </cfRule>
  </conditionalFormatting>
  <conditionalFormatting sqref="B251">
    <cfRule type="containsText" dxfId="6498" priority="2181" operator="containsText" text="[adv]">
      <formula>NOT(ISERROR(SEARCH("[adv]",B251)))</formula>
    </cfRule>
  </conditionalFormatting>
  <conditionalFormatting sqref="B259">
    <cfRule type="containsText" dxfId="6497" priority="2148" operator="containsText" text="[adv]">
      <formula>NOT(ISERROR(SEARCH("[adv]",B259)))</formula>
    </cfRule>
  </conditionalFormatting>
  <conditionalFormatting sqref="B267">
    <cfRule type="containsText" dxfId="6496" priority="2117" operator="containsText" text="[adv]">
      <formula>NOT(ISERROR(SEARCH("[adv]",B267)))</formula>
    </cfRule>
  </conditionalFormatting>
  <conditionalFormatting sqref="B275">
    <cfRule type="containsText" dxfId="6495" priority="2086" operator="containsText" text="[adv]">
      <formula>NOT(ISERROR(SEARCH("[adv]",B275)))</formula>
    </cfRule>
  </conditionalFormatting>
  <conditionalFormatting sqref="B283">
    <cfRule type="containsText" dxfId="6494" priority="2057" operator="containsText" text="[adv]">
      <formula>NOT(ISERROR(SEARCH("[adv]",B283)))</formula>
    </cfRule>
  </conditionalFormatting>
  <conditionalFormatting sqref="B291">
    <cfRule type="containsText" dxfId="6493" priority="2026" operator="containsText" text="[adv]">
      <formula>NOT(ISERROR(SEARCH("[adv]",B291)))</formula>
    </cfRule>
  </conditionalFormatting>
  <conditionalFormatting sqref="B299">
    <cfRule type="containsText" dxfId="6492" priority="1995" operator="containsText" text="[adv]">
      <formula>NOT(ISERROR(SEARCH("[adv]",B299)))</formula>
    </cfRule>
  </conditionalFormatting>
  <conditionalFormatting sqref="B307">
    <cfRule type="containsText" dxfId="6491" priority="1963" operator="containsText" text="[adv]">
      <formula>NOT(ISERROR(SEARCH("[adv]",B307)))</formula>
    </cfRule>
  </conditionalFormatting>
  <conditionalFormatting sqref="B315">
    <cfRule type="containsText" dxfId="6490" priority="1932" operator="containsText" text="[adv]">
      <formula>NOT(ISERROR(SEARCH("[adv]",B315)))</formula>
    </cfRule>
  </conditionalFormatting>
  <conditionalFormatting sqref="B323">
    <cfRule type="containsText" dxfId="6489" priority="1900" operator="containsText" text="[adv]">
      <formula>NOT(ISERROR(SEARCH("[adv]",B323)))</formula>
    </cfRule>
  </conditionalFormatting>
  <conditionalFormatting sqref="B331">
    <cfRule type="containsText" dxfId="6488" priority="1869" operator="containsText" text="[adv]">
      <formula>NOT(ISERROR(SEARCH("[adv]",B331)))</formula>
    </cfRule>
  </conditionalFormatting>
  <conditionalFormatting sqref="B339">
    <cfRule type="containsText" dxfId="6487" priority="1837" operator="containsText" text="[adv]">
      <formula>NOT(ISERROR(SEARCH("[adv]",B339)))</formula>
    </cfRule>
  </conditionalFormatting>
  <conditionalFormatting sqref="B347">
    <cfRule type="containsText" dxfId="6486" priority="1806" operator="containsText" text="[adv]">
      <formula>NOT(ISERROR(SEARCH("[adv]",B347)))</formula>
    </cfRule>
  </conditionalFormatting>
  <conditionalFormatting sqref="B355">
    <cfRule type="containsText" dxfId="6485" priority="1773" operator="containsText" text="[adv]">
      <formula>NOT(ISERROR(SEARCH("[adv]",B355)))</formula>
    </cfRule>
  </conditionalFormatting>
  <conditionalFormatting sqref="B363">
    <cfRule type="containsText" dxfId="6484" priority="1742" operator="containsText" text="[adv]">
      <formula>NOT(ISERROR(SEARCH("[adv]",B363)))</formula>
    </cfRule>
  </conditionalFormatting>
  <conditionalFormatting sqref="B371">
    <cfRule type="containsText" dxfId="6483" priority="1710" operator="containsText" text="[adv]">
      <formula>NOT(ISERROR(SEARCH("[adv]",B371)))</formula>
    </cfRule>
  </conditionalFormatting>
  <conditionalFormatting sqref="B379">
    <cfRule type="containsText" dxfId="6482" priority="1679" operator="containsText" text="[adv]">
      <formula>NOT(ISERROR(SEARCH("[adv]",B379)))</formula>
    </cfRule>
  </conditionalFormatting>
  <conditionalFormatting sqref="B387">
    <cfRule type="containsText" dxfId="6481" priority="1649" operator="containsText" text="[adv]">
      <formula>NOT(ISERROR(SEARCH("[adv]",B387)))</formula>
    </cfRule>
  </conditionalFormatting>
  <conditionalFormatting sqref="B395">
    <cfRule type="containsText" dxfId="6480" priority="1620" operator="containsText" text="[adv]">
      <formula>NOT(ISERROR(SEARCH("[adv]",B395)))</formula>
    </cfRule>
  </conditionalFormatting>
  <conditionalFormatting sqref="B403">
    <cfRule type="containsText" dxfId="6479" priority="1588" operator="containsText" text="[adv]">
      <formula>NOT(ISERROR(SEARCH("[adv]",B403)))</formula>
    </cfRule>
  </conditionalFormatting>
  <conditionalFormatting sqref="B411">
    <cfRule type="containsText" dxfId="6478" priority="1557" operator="containsText" text="[adv]">
      <formula>NOT(ISERROR(SEARCH("[adv]",B411)))</formula>
    </cfRule>
  </conditionalFormatting>
  <conditionalFormatting sqref="C94:C98 C100:C106 C108:C114 C116:C122 C124:C130 C132:C138 C140:C146 C148:C154 C156:C162 C164:C170 C172:C178 C180:C186 C188:C194 C196:C202 C204:C210 C212:C218 C220:C226 C228:C234 C236:C242 C244:C250 C252:C258 C260:C266 C268:C274 C276:C282 C284:C290 C292:C298 C300:C306 C308:C314 C316:C322 C324:C330 C332:C338 C340:C346 C348:C354 C356:C362 C364:C370 C372:C378 C380:C386 C388:C394 C396:C402 C404:C410 C412:C419">
    <cfRule type="containsText" dxfId="6477" priority="8016" operator="containsText" text="[adv]">
      <formula>NOT(ISERROR(SEARCH("[adv]",C94)))</formula>
    </cfRule>
  </conditionalFormatting>
  <conditionalFormatting sqref="C183">
    <cfRule type="containsText" dxfId="6476" priority="5957" operator="containsText" text="[adv]">
      <formula>NOT(ISERROR(SEARCH("[adv]",C183)))</formula>
    </cfRule>
  </conditionalFormatting>
  <conditionalFormatting sqref="C191">
    <cfRule type="containsText" dxfId="6475" priority="5956" operator="containsText" text="[adv]">
      <formula>NOT(ISERROR(SEARCH("[adv]",C191)))</formula>
    </cfRule>
  </conditionalFormatting>
  <conditionalFormatting sqref="C199">
    <cfRule type="containsText" dxfId="6474" priority="5955" operator="containsText" text="[adv]">
      <formula>NOT(ISERROR(SEARCH("[adv]",C199)))</formula>
    </cfRule>
  </conditionalFormatting>
  <conditionalFormatting sqref="C207">
    <cfRule type="containsText" dxfId="6473" priority="5954" operator="containsText" text="[adv]">
      <formula>NOT(ISERROR(SEARCH("[adv]",C207)))</formula>
    </cfRule>
  </conditionalFormatting>
  <conditionalFormatting sqref="C215">
    <cfRule type="containsText" dxfId="6472" priority="5953" operator="containsText" text="[adv]">
      <formula>NOT(ISERROR(SEARCH("[adv]",C215)))</formula>
    </cfRule>
  </conditionalFormatting>
  <conditionalFormatting sqref="C223">
    <cfRule type="containsText" dxfId="6471" priority="5952" operator="containsText" text="[adv]">
      <formula>NOT(ISERROR(SEARCH("[adv]",C223)))</formula>
    </cfRule>
  </conditionalFormatting>
  <conditionalFormatting sqref="C231">
    <cfRule type="containsText" dxfId="6470" priority="5951" operator="containsText" text="[adv]">
      <formula>NOT(ISERROR(SEARCH("[adv]",C231)))</formula>
    </cfRule>
  </conditionalFormatting>
  <conditionalFormatting sqref="C239">
    <cfRule type="containsText" dxfId="6469" priority="5950" operator="containsText" text="[adv]">
      <formula>NOT(ISERROR(SEARCH("[adv]",C239)))</formula>
    </cfRule>
  </conditionalFormatting>
  <conditionalFormatting sqref="C247">
    <cfRule type="containsText" dxfId="6468" priority="5949" operator="containsText" text="[adv]">
      <formula>NOT(ISERROR(SEARCH("[adv]",C247)))</formula>
    </cfRule>
  </conditionalFormatting>
  <conditionalFormatting sqref="C255">
    <cfRule type="containsText" dxfId="6467" priority="5948" operator="containsText" text="[adv]">
      <formula>NOT(ISERROR(SEARCH("[adv]",C255)))</formula>
    </cfRule>
  </conditionalFormatting>
  <conditionalFormatting sqref="C263">
    <cfRule type="containsText" dxfId="6466" priority="5947" operator="containsText" text="[adv]">
      <formula>NOT(ISERROR(SEARCH("[adv]",C263)))</formula>
    </cfRule>
  </conditionalFormatting>
  <conditionalFormatting sqref="C271">
    <cfRule type="containsText" dxfId="6465" priority="5946" operator="containsText" text="[adv]">
      <formula>NOT(ISERROR(SEARCH("[adv]",C271)))</formula>
    </cfRule>
  </conditionalFormatting>
  <conditionalFormatting sqref="C279">
    <cfRule type="containsText" dxfId="6464" priority="5945" operator="containsText" text="[adv]">
      <formula>NOT(ISERROR(SEARCH("[adv]",C279)))</formula>
    </cfRule>
  </conditionalFormatting>
  <conditionalFormatting sqref="C287">
    <cfRule type="containsText" dxfId="6463" priority="5944" operator="containsText" text="[adv]">
      <formula>NOT(ISERROR(SEARCH("[adv]",C287)))</formula>
    </cfRule>
  </conditionalFormatting>
  <conditionalFormatting sqref="C295">
    <cfRule type="containsText" dxfId="6462" priority="5943" operator="containsText" text="[adv]">
      <formula>NOT(ISERROR(SEARCH("[adv]",C295)))</formula>
    </cfRule>
  </conditionalFormatting>
  <conditionalFormatting sqref="C303">
    <cfRule type="containsText" dxfId="6461" priority="5942" operator="containsText" text="[adv]">
      <formula>NOT(ISERROR(SEARCH("[adv]",C303)))</formula>
    </cfRule>
  </conditionalFormatting>
  <conditionalFormatting sqref="C311">
    <cfRule type="containsText" dxfId="6460" priority="5941" operator="containsText" text="[adv]">
      <formula>NOT(ISERROR(SEARCH("[adv]",C311)))</formula>
    </cfRule>
  </conditionalFormatting>
  <conditionalFormatting sqref="C319">
    <cfRule type="containsText" dxfId="6459" priority="5940" operator="containsText" text="[adv]">
      <formula>NOT(ISERROR(SEARCH("[adv]",C319)))</formula>
    </cfRule>
  </conditionalFormatting>
  <conditionalFormatting sqref="C327">
    <cfRule type="containsText" dxfId="6458" priority="5939" operator="containsText" text="[adv]">
      <formula>NOT(ISERROR(SEARCH("[adv]",C327)))</formula>
    </cfRule>
  </conditionalFormatting>
  <conditionalFormatting sqref="C335">
    <cfRule type="containsText" dxfId="6457" priority="5938" operator="containsText" text="[adv]">
      <formula>NOT(ISERROR(SEARCH("[adv]",C335)))</formula>
    </cfRule>
  </conditionalFormatting>
  <conditionalFormatting sqref="C343">
    <cfRule type="containsText" dxfId="6456" priority="5937" operator="containsText" text="[adv]">
      <formula>NOT(ISERROR(SEARCH("[adv]",C343)))</formula>
    </cfRule>
  </conditionalFormatting>
  <conditionalFormatting sqref="C351">
    <cfRule type="containsText" dxfId="6455" priority="5936" operator="containsText" text="[adv]">
      <formula>NOT(ISERROR(SEARCH("[adv]",C351)))</formula>
    </cfRule>
  </conditionalFormatting>
  <conditionalFormatting sqref="C359">
    <cfRule type="containsText" dxfId="6454" priority="5935" operator="containsText" text="[adv]">
      <formula>NOT(ISERROR(SEARCH("[adv]",C359)))</formula>
    </cfRule>
  </conditionalFormatting>
  <conditionalFormatting sqref="C367">
    <cfRule type="containsText" dxfId="6453" priority="5934" operator="containsText" text="[adv]">
      <formula>NOT(ISERROR(SEARCH("[adv]",C367)))</formula>
    </cfRule>
  </conditionalFormatting>
  <conditionalFormatting sqref="C375">
    <cfRule type="containsText" dxfId="6452" priority="5933" operator="containsText" text="[adv]">
      <formula>NOT(ISERROR(SEARCH("[adv]",C375)))</formula>
    </cfRule>
  </conditionalFormatting>
  <conditionalFormatting sqref="C383">
    <cfRule type="containsText" dxfId="6451" priority="5932" operator="containsText" text="[adv]">
      <formula>NOT(ISERROR(SEARCH("[adv]",C383)))</formula>
    </cfRule>
  </conditionalFormatting>
  <conditionalFormatting sqref="C391">
    <cfRule type="containsText" dxfId="6450" priority="5931" operator="containsText" text="[adv]">
      <formula>NOT(ISERROR(SEARCH("[adv]",C391)))</formula>
    </cfRule>
  </conditionalFormatting>
  <conditionalFormatting sqref="C399">
    <cfRule type="containsText" dxfId="6449" priority="5930" operator="containsText" text="[adv]">
      <formula>NOT(ISERROR(SEARCH("[adv]",C399)))</formula>
    </cfRule>
  </conditionalFormatting>
  <conditionalFormatting sqref="C407">
    <cfRule type="containsText" dxfId="6448" priority="5929" operator="containsText" text="[adv]">
      <formula>NOT(ISERROR(SEARCH("[adv]",C407)))</formula>
    </cfRule>
  </conditionalFormatting>
  <conditionalFormatting sqref="C415">
    <cfRule type="containsText" dxfId="6447" priority="5928" operator="containsText" text="[adv]">
      <formula>NOT(ISERROR(SEARCH("[adv]",C415)))</formula>
    </cfRule>
  </conditionalFormatting>
  <conditionalFormatting sqref="C195:D195 A195">
    <cfRule type="containsText" dxfId="6446" priority="2432" operator="containsText" text="[adv]">
      <formula>NOT(ISERROR(SEARCH("[adv]",A195)))</formula>
    </cfRule>
  </conditionalFormatting>
  <conditionalFormatting sqref="C203:D203 A203">
    <cfRule type="containsText" dxfId="6445" priority="2400" operator="containsText" text="[adv]">
      <formula>NOT(ISERROR(SEARCH("[adv]",A203)))</formula>
    </cfRule>
  </conditionalFormatting>
  <conditionalFormatting sqref="C211:D211 A211">
    <cfRule type="containsText" dxfId="6444" priority="2369" operator="containsText" text="[adv]">
      <formula>NOT(ISERROR(SEARCH("[adv]",A211)))</formula>
    </cfRule>
  </conditionalFormatting>
  <conditionalFormatting sqref="C219:D219 A219">
    <cfRule type="containsText" dxfId="6443" priority="2337" operator="containsText" text="[adv]">
      <formula>NOT(ISERROR(SEARCH("[adv]",A219)))</formula>
    </cfRule>
  </conditionalFormatting>
  <conditionalFormatting sqref="C227:D227 A227">
    <cfRule type="containsText" dxfId="6442" priority="2306" operator="containsText" text="[adv]">
      <formula>NOT(ISERROR(SEARCH("[adv]",A227)))</formula>
    </cfRule>
  </conditionalFormatting>
  <conditionalFormatting sqref="C235:D235 A235">
    <cfRule type="containsText" dxfId="6441" priority="2274" operator="containsText" text="[adv]">
      <formula>NOT(ISERROR(SEARCH("[adv]",A235)))</formula>
    </cfRule>
  </conditionalFormatting>
  <conditionalFormatting sqref="C243:D243 A243">
    <cfRule type="containsText" dxfId="6440" priority="2243" operator="containsText" text="[adv]">
      <formula>NOT(ISERROR(SEARCH("[adv]",A243)))</formula>
    </cfRule>
  </conditionalFormatting>
  <conditionalFormatting sqref="C251:D251 A251">
    <cfRule type="containsText" dxfId="6439" priority="2211" operator="containsText" text="[adv]">
      <formula>NOT(ISERROR(SEARCH("[adv]",A251)))</formula>
    </cfRule>
  </conditionalFormatting>
  <conditionalFormatting sqref="C259:D259 A259">
    <cfRule type="containsText" dxfId="6438" priority="2179" operator="containsText" text="[adv]">
      <formula>NOT(ISERROR(SEARCH("[adv]",A259)))</formula>
    </cfRule>
  </conditionalFormatting>
  <conditionalFormatting sqref="C267:D267 A267">
    <cfRule type="containsText" dxfId="6437" priority="2146" operator="containsText" text="[adv]">
      <formula>NOT(ISERROR(SEARCH("[adv]",A267)))</formula>
    </cfRule>
  </conditionalFormatting>
  <conditionalFormatting sqref="C275:D275 A275">
    <cfRule type="containsText" dxfId="6436" priority="2115" operator="containsText" text="[adv]">
      <formula>NOT(ISERROR(SEARCH("[adv]",A275)))</formula>
    </cfRule>
  </conditionalFormatting>
  <conditionalFormatting sqref="C299:D299 A299">
    <cfRule type="containsText" dxfId="6435" priority="2024" operator="containsText" text="[adv]">
      <formula>NOT(ISERROR(SEARCH("[adv]",A299)))</formula>
    </cfRule>
  </conditionalFormatting>
  <conditionalFormatting sqref="C307:D307 A307">
    <cfRule type="containsText" dxfId="6434" priority="1993" operator="containsText" text="[adv]">
      <formula>NOT(ISERROR(SEARCH("[adv]",A307)))</formula>
    </cfRule>
  </conditionalFormatting>
  <conditionalFormatting sqref="C315:D315 A315">
    <cfRule type="containsText" dxfId="6433" priority="1961" operator="containsText" text="[adv]">
      <formula>NOT(ISERROR(SEARCH("[adv]",A315)))</formula>
    </cfRule>
  </conditionalFormatting>
  <conditionalFormatting sqref="C323:D323 A323">
    <cfRule type="containsText" dxfId="6432" priority="1930" operator="containsText" text="[adv]">
      <formula>NOT(ISERROR(SEARCH("[adv]",A323)))</formula>
    </cfRule>
  </conditionalFormatting>
  <conditionalFormatting sqref="C331:D331 A331">
    <cfRule type="containsText" dxfId="6431" priority="1898" operator="containsText" text="[adv]">
      <formula>NOT(ISERROR(SEARCH("[adv]",A331)))</formula>
    </cfRule>
  </conditionalFormatting>
  <conditionalFormatting sqref="C339:D339 A339">
    <cfRule type="containsText" dxfId="6430" priority="1867" operator="containsText" text="[adv]">
      <formula>NOT(ISERROR(SEARCH("[adv]",A339)))</formula>
    </cfRule>
  </conditionalFormatting>
  <conditionalFormatting sqref="C347:D347 A347">
    <cfRule type="containsText" dxfId="6429" priority="1835" operator="containsText" text="[adv]">
      <formula>NOT(ISERROR(SEARCH("[adv]",A347)))</formula>
    </cfRule>
  </conditionalFormatting>
  <conditionalFormatting sqref="C355:D355 A355">
    <cfRule type="containsText" dxfId="6428" priority="1804" operator="containsText" text="[adv]">
      <formula>NOT(ISERROR(SEARCH("[adv]",A355)))</formula>
    </cfRule>
  </conditionalFormatting>
  <conditionalFormatting sqref="C363:D363 A363">
    <cfRule type="containsText" dxfId="6427" priority="1771" operator="containsText" text="[adv]">
      <formula>NOT(ISERROR(SEARCH("[adv]",A363)))</formula>
    </cfRule>
  </conditionalFormatting>
  <conditionalFormatting sqref="C371:D371 A371">
    <cfRule type="containsText" dxfId="6426" priority="1740" operator="containsText" text="[adv]">
      <formula>NOT(ISERROR(SEARCH("[adv]",A371)))</formula>
    </cfRule>
  </conditionalFormatting>
  <conditionalFormatting sqref="C379:D379 A379">
    <cfRule type="containsText" dxfId="6425" priority="1708" operator="containsText" text="[adv]">
      <formula>NOT(ISERROR(SEARCH("[adv]",A379)))</formula>
    </cfRule>
  </conditionalFormatting>
  <conditionalFormatting sqref="C403:D403 A403">
    <cfRule type="containsText" dxfId="6424" priority="1618" operator="containsText" text="[adv]">
      <formula>NOT(ISERROR(SEARCH("[adv]",A403)))</formula>
    </cfRule>
  </conditionalFormatting>
  <conditionalFormatting sqref="C411:D411 A411">
    <cfRule type="containsText" dxfId="6423" priority="1586" operator="containsText" text="[adv]">
      <formula>NOT(ISERROR(SEARCH("[adv]",A411)))</formula>
    </cfRule>
  </conditionalFormatting>
  <conditionalFormatting sqref="D12:D18">
    <cfRule type="containsText" dxfId="6422" priority="5097" operator="containsText" text="[adv]">
      <formula>NOT(ISERROR(SEARCH("[adv]",D12)))</formula>
    </cfRule>
  </conditionalFormatting>
  <conditionalFormatting sqref="D20:D25">
    <cfRule type="containsText" dxfId="6421" priority="5092" operator="containsText" text="[pluk]">
      <formula>NOT(ISERROR(SEARCH("[pluk]",D20)))</formula>
    </cfRule>
    <cfRule type="cellIs" dxfId="6420" priority="5093" operator="equal">
      <formula>"_"</formula>
    </cfRule>
  </conditionalFormatting>
  <conditionalFormatting sqref="D20:D26">
    <cfRule type="containsText" dxfId="6419" priority="5094" operator="containsText" text="[adv]">
      <formula>NOT(ISERROR(SEARCH("[adv]",D20)))</formula>
    </cfRule>
  </conditionalFormatting>
  <conditionalFormatting sqref="D28:D33">
    <cfRule type="containsText" dxfId="6418" priority="5089" operator="containsText" text="[pluk]">
      <formula>NOT(ISERROR(SEARCH("[pluk]",D28)))</formula>
    </cfRule>
    <cfRule type="cellIs" dxfId="6417" priority="5090" operator="equal">
      <formula>"_"</formula>
    </cfRule>
  </conditionalFormatting>
  <conditionalFormatting sqref="D28:D34">
    <cfRule type="containsText" dxfId="6416" priority="5091" operator="containsText" text="[adv]">
      <formula>NOT(ISERROR(SEARCH("[adv]",D28)))</formula>
    </cfRule>
  </conditionalFormatting>
  <conditionalFormatting sqref="D36:D41">
    <cfRule type="containsText" dxfId="6415" priority="5086" operator="containsText" text="[pluk]">
      <formula>NOT(ISERROR(SEARCH("[pluk]",D36)))</formula>
    </cfRule>
    <cfRule type="cellIs" dxfId="6414" priority="5087" operator="equal">
      <formula>"_"</formula>
    </cfRule>
  </conditionalFormatting>
  <conditionalFormatting sqref="D36:D42">
    <cfRule type="containsText" dxfId="6413" priority="5088" operator="containsText" text="[adv]">
      <formula>NOT(ISERROR(SEARCH("[adv]",D36)))</formula>
    </cfRule>
  </conditionalFormatting>
  <conditionalFormatting sqref="D44:D49">
    <cfRule type="containsText" dxfId="6412" priority="5083" operator="containsText" text="[pluk]">
      <formula>NOT(ISERROR(SEARCH("[pluk]",D44)))</formula>
    </cfRule>
    <cfRule type="cellIs" dxfId="6411" priority="5084" operator="equal">
      <formula>"_"</formula>
    </cfRule>
  </conditionalFormatting>
  <conditionalFormatting sqref="D44:D50">
    <cfRule type="containsText" dxfId="6410" priority="5085" operator="containsText" text="[adv]">
      <formula>NOT(ISERROR(SEARCH("[adv]",D44)))</formula>
    </cfRule>
  </conditionalFormatting>
  <conditionalFormatting sqref="D52:D57">
    <cfRule type="containsText" dxfId="6409" priority="5080" operator="containsText" text="[pluk]">
      <formula>NOT(ISERROR(SEARCH("[pluk]",D52)))</formula>
    </cfRule>
    <cfRule type="cellIs" dxfId="6408" priority="5081" operator="equal">
      <formula>"_"</formula>
    </cfRule>
  </conditionalFormatting>
  <conditionalFormatting sqref="D52:D58">
    <cfRule type="containsText" dxfId="6407" priority="5082" operator="containsText" text="[adv]">
      <formula>NOT(ISERROR(SEARCH("[adv]",D52)))</formula>
    </cfRule>
  </conditionalFormatting>
  <conditionalFormatting sqref="D60:D65">
    <cfRule type="containsText" dxfId="6406" priority="5077" operator="containsText" text="[pluk]">
      <formula>NOT(ISERROR(SEARCH("[pluk]",D60)))</formula>
    </cfRule>
    <cfRule type="cellIs" dxfId="6405" priority="5078" operator="equal">
      <formula>"_"</formula>
    </cfRule>
  </conditionalFormatting>
  <conditionalFormatting sqref="D60:D66">
    <cfRule type="containsText" dxfId="6404" priority="5079" operator="containsText" text="[adv]">
      <formula>NOT(ISERROR(SEARCH("[adv]",D60)))</formula>
    </cfRule>
  </conditionalFormatting>
  <conditionalFormatting sqref="D68:D73 D76:D81">
    <cfRule type="containsText" dxfId="6403" priority="5074" operator="containsText" text="[pluk]">
      <formula>NOT(ISERROR(SEARCH("[pluk]",D68)))</formula>
    </cfRule>
    <cfRule type="cellIs" dxfId="6402" priority="5075" operator="equal">
      <formula>"_"</formula>
    </cfRule>
  </conditionalFormatting>
  <conditionalFormatting sqref="D76:D82 D68:D74">
    <cfRule type="containsText" dxfId="6401" priority="5076" operator="containsText" text="[adv]">
      <formula>NOT(ISERROR(SEARCH("[adv]",D68)))</formula>
    </cfRule>
  </conditionalFormatting>
  <conditionalFormatting sqref="D84:D89">
    <cfRule type="containsText" dxfId="6400" priority="5071" operator="containsText" text="[pluk]">
      <formula>NOT(ISERROR(SEARCH("[pluk]",D84)))</formula>
    </cfRule>
    <cfRule type="cellIs" dxfId="6399" priority="5072" operator="equal">
      <formula>"_"</formula>
    </cfRule>
  </conditionalFormatting>
  <conditionalFormatting sqref="D84:D90">
    <cfRule type="containsText" dxfId="6398" priority="5073" operator="containsText" text="[adv]">
      <formula>NOT(ISERROR(SEARCH("[adv]",D84)))</formula>
    </cfRule>
  </conditionalFormatting>
  <conditionalFormatting sqref="D92:D97">
    <cfRule type="containsText" dxfId="6397" priority="5068" operator="containsText" text="[pluk]">
      <formula>NOT(ISERROR(SEARCH("[pluk]",D92)))</formula>
    </cfRule>
    <cfRule type="cellIs" dxfId="6396" priority="5069" operator="equal">
      <formula>"_"</formula>
    </cfRule>
  </conditionalFormatting>
  <conditionalFormatting sqref="D92:D98">
    <cfRule type="containsText" dxfId="6395" priority="5070" operator="containsText" text="[adv]">
      <formula>NOT(ISERROR(SEARCH("[adv]",D92)))</formula>
    </cfRule>
  </conditionalFormatting>
  <conditionalFormatting sqref="D100:D105">
    <cfRule type="containsText" dxfId="6394" priority="5065" operator="containsText" text="[pluk]">
      <formula>NOT(ISERROR(SEARCH("[pluk]",D100)))</formula>
    </cfRule>
    <cfRule type="cellIs" dxfId="6393" priority="5066" operator="equal">
      <formula>"_"</formula>
    </cfRule>
  </conditionalFormatting>
  <conditionalFormatting sqref="D100:D106">
    <cfRule type="containsText" dxfId="6392" priority="5067" operator="containsText" text="[adv]">
      <formula>NOT(ISERROR(SEARCH("[adv]",D100)))</formula>
    </cfRule>
  </conditionalFormatting>
  <conditionalFormatting sqref="D108:D113">
    <cfRule type="containsText" dxfId="6391" priority="5062" operator="containsText" text="[pluk]">
      <formula>NOT(ISERROR(SEARCH("[pluk]",D108)))</formula>
    </cfRule>
    <cfRule type="cellIs" dxfId="6390" priority="5063" operator="equal">
      <formula>"_"</formula>
    </cfRule>
  </conditionalFormatting>
  <conditionalFormatting sqref="D108:D114">
    <cfRule type="containsText" dxfId="6389" priority="5064" operator="containsText" text="[adv]">
      <formula>NOT(ISERROR(SEARCH("[adv]",D108)))</formula>
    </cfRule>
  </conditionalFormatting>
  <conditionalFormatting sqref="D116:D121">
    <cfRule type="containsText" dxfId="6388" priority="5059" operator="containsText" text="[pluk]">
      <formula>NOT(ISERROR(SEARCH("[pluk]",D116)))</formula>
    </cfRule>
    <cfRule type="cellIs" dxfId="6387" priority="5060" operator="equal">
      <formula>"_"</formula>
    </cfRule>
  </conditionalFormatting>
  <conditionalFormatting sqref="D116:D122">
    <cfRule type="containsText" dxfId="6386" priority="5061" operator="containsText" text="[adv]">
      <formula>NOT(ISERROR(SEARCH("[adv]",D116)))</formula>
    </cfRule>
  </conditionalFormatting>
  <conditionalFormatting sqref="D124:D129">
    <cfRule type="containsText" dxfId="6385" priority="5056" operator="containsText" text="[pluk]">
      <formula>NOT(ISERROR(SEARCH("[pluk]",D124)))</formula>
    </cfRule>
    <cfRule type="cellIs" dxfId="6384" priority="5057" operator="equal">
      <formula>"_"</formula>
    </cfRule>
  </conditionalFormatting>
  <conditionalFormatting sqref="D124:D130">
    <cfRule type="containsText" dxfId="6383" priority="5058" operator="containsText" text="[adv]">
      <formula>NOT(ISERROR(SEARCH("[adv]",D124)))</formula>
    </cfRule>
  </conditionalFormatting>
  <conditionalFormatting sqref="D132:D137">
    <cfRule type="containsText" dxfId="6382" priority="5053" operator="containsText" text="[pluk]">
      <formula>NOT(ISERROR(SEARCH("[pluk]",D132)))</formula>
    </cfRule>
    <cfRule type="cellIs" dxfId="6381" priority="5054" operator="equal">
      <formula>"_"</formula>
    </cfRule>
  </conditionalFormatting>
  <conditionalFormatting sqref="D132:D138">
    <cfRule type="containsText" dxfId="6380" priority="5055" operator="containsText" text="[adv]">
      <formula>NOT(ISERROR(SEARCH("[adv]",D132)))</formula>
    </cfRule>
  </conditionalFormatting>
  <conditionalFormatting sqref="D140:D145">
    <cfRule type="containsText" dxfId="6379" priority="5050" operator="containsText" text="[pluk]">
      <formula>NOT(ISERROR(SEARCH("[pluk]",D140)))</formula>
    </cfRule>
    <cfRule type="cellIs" dxfId="6378" priority="5051" operator="equal">
      <formula>"_"</formula>
    </cfRule>
  </conditionalFormatting>
  <conditionalFormatting sqref="D140:D146">
    <cfRule type="containsText" dxfId="6377" priority="5052" operator="containsText" text="[adv]">
      <formula>NOT(ISERROR(SEARCH("[adv]",D140)))</formula>
    </cfRule>
  </conditionalFormatting>
  <conditionalFormatting sqref="D148:D153">
    <cfRule type="containsText" dxfId="6376" priority="5047" operator="containsText" text="[pluk]">
      <formula>NOT(ISERROR(SEARCH("[pluk]",D148)))</formula>
    </cfRule>
    <cfRule type="cellIs" dxfId="6375" priority="5048" operator="equal">
      <formula>"_"</formula>
    </cfRule>
  </conditionalFormatting>
  <conditionalFormatting sqref="D148:D154">
    <cfRule type="containsText" dxfId="6374" priority="5049" operator="containsText" text="[adv]">
      <formula>NOT(ISERROR(SEARCH("[adv]",D148)))</formula>
    </cfRule>
  </conditionalFormatting>
  <conditionalFormatting sqref="D156:D161">
    <cfRule type="containsText" dxfId="6373" priority="5044" operator="containsText" text="[pluk]">
      <formula>NOT(ISERROR(SEARCH("[pluk]",D156)))</formula>
    </cfRule>
    <cfRule type="cellIs" dxfId="6372" priority="5045" operator="equal">
      <formula>"_"</formula>
    </cfRule>
  </conditionalFormatting>
  <conditionalFormatting sqref="D156:D162">
    <cfRule type="containsText" dxfId="6371" priority="5046" operator="containsText" text="[adv]">
      <formula>NOT(ISERROR(SEARCH("[adv]",D156)))</formula>
    </cfRule>
  </conditionalFormatting>
  <conditionalFormatting sqref="D164:D169">
    <cfRule type="containsText" dxfId="6370" priority="5041" operator="containsText" text="[pluk]">
      <formula>NOT(ISERROR(SEARCH("[pluk]",D164)))</formula>
    </cfRule>
    <cfRule type="cellIs" dxfId="6369" priority="5042" operator="equal">
      <formula>"_"</formula>
    </cfRule>
  </conditionalFormatting>
  <conditionalFormatting sqref="D164:D170">
    <cfRule type="containsText" dxfId="6368" priority="5043" operator="containsText" text="[adv]">
      <formula>NOT(ISERROR(SEARCH("[adv]",D164)))</formula>
    </cfRule>
  </conditionalFormatting>
  <conditionalFormatting sqref="D172:D177">
    <cfRule type="containsText" dxfId="6367" priority="5038" operator="containsText" text="[pluk]">
      <formula>NOT(ISERROR(SEARCH("[pluk]",D172)))</formula>
    </cfRule>
    <cfRule type="cellIs" dxfId="6366" priority="5039" operator="equal">
      <formula>"_"</formula>
    </cfRule>
  </conditionalFormatting>
  <conditionalFormatting sqref="D172:D178">
    <cfRule type="containsText" dxfId="6365" priority="5040" operator="containsText" text="[adv]">
      <formula>NOT(ISERROR(SEARCH("[adv]",D172)))</formula>
    </cfRule>
  </conditionalFormatting>
  <conditionalFormatting sqref="D180:D185">
    <cfRule type="containsText" dxfId="6364" priority="5033" operator="containsText" text="[pluk]">
      <formula>NOT(ISERROR(SEARCH("[pluk]",D180)))</formula>
    </cfRule>
    <cfRule type="cellIs" dxfId="6363" priority="5034" operator="equal">
      <formula>"_"</formula>
    </cfRule>
  </conditionalFormatting>
  <conditionalFormatting sqref="D180:D186">
    <cfRule type="containsText" dxfId="6362" priority="5035" operator="containsText" text="[adv]">
      <formula>NOT(ISERROR(SEARCH("[adv]",D180)))</formula>
    </cfRule>
  </conditionalFormatting>
  <conditionalFormatting sqref="D186">
    <cfRule type="containsText" dxfId="6361" priority="5036" operator="containsText" text="[pluk]">
      <formula>NOT(ISERROR(SEARCH("[pluk]",D186)))</formula>
    </cfRule>
    <cfRule type="cellIs" dxfId="6360" priority="5037" operator="equal">
      <formula>"_"</formula>
    </cfRule>
  </conditionalFormatting>
  <conditionalFormatting sqref="D188:D193">
    <cfRule type="containsText" dxfId="6359" priority="5028" operator="containsText" text="[pluk]">
      <formula>NOT(ISERROR(SEARCH("[pluk]",D188)))</formula>
    </cfRule>
    <cfRule type="cellIs" dxfId="6358" priority="5029" operator="equal">
      <formula>"_"</formula>
    </cfRule>
  </conditionalFormatting>
  <conditionalFormatting sqref="D188:D194">
    <cfRule type="containsText" dxfId="6357" priority="5030" operator="containsText" text="[adv]">
      <formula>NOT(ISERROR(SEARCH("[adv]",D188)))</formula>
    </cfRule>
  </conditionalFormatting>
  <conditionalFormatting sqref="D194">
    <cfRule type="containsText" dxfId="6356" priority="5031" operator="containsText" text="[pluk]">
      <formula>NOT(ISERROR(SEARCH("[pluk]",D194)))</formula>
    </cfRule>
    <cfRule type="cellIs" dxfId="6355" priority="5032" operator="equal">
      <formula>"_"</formula>
    </cfRule>
  </conditionalFormatting>
  <conditionalFormatting sqref="D196:D201">
    <cfRule type="containsText" dxfId="6354" priority="5023" operator="containsText" text="[pluk]">
      <formula>NOT(ISERROR(SEARCH("[pluk]",D196)))</formula>
    </cfRule>
    <cfRule type="cellIs" dxfId="6353" priority="5024" operator="equal">
      <formula>"_"</formula>
    </cfRule>
  </conditionalFormatting>
  <conditionalFormatting sqref="D196:D202">
    <cfRule type="containsText" dxfId="6352" priority="5025" operator="containsText" text="[adv]">
      <formula>NOT(ISERROR(SEARCH("[adv]",D196)))</formula>
    </cfRule>
  </conditionalFormatting>
  <conditionalFormatting sqref="D202">
    <cfRule type="containsText" dxfId="6351" priority="5026" operator="containsText" text="[pluk]">
      <formula>NOT(ISERROR(SEARCH("[pluk]",D202)))</formula>
    </cfRule>
    <cfRule type="cellIs" dxfId="6350" priority="5027" operator="equal">
      <formula>"_"</formula>
    </cfRule>
  </conditionalFormatting>
  <conditionalFormatting sqref="D204:D209">
    <cfRule type="containsText" dxfId="6349" priority="5018" operator="containsText" text="[pluk]">
      <formula>NOT(ISERROR(SEARCH("[pluk]",D204)))</formula>
    </cfRule>
    <cfRule type="cellIs" dxfId="6348" priority="5019" operator="equal">
      <formula>"_"</formula>
    </cfRule>
  </conditionalFormatting>
  <conditionalFormatting sqref="D204:D210">
    <cfRule type="containsText" dxfId="6347" priority="5020" operator="containsText" text="[adv]">
      <formula>NOT(ISERROR(SEARCH("[adv]",D204)))</formula>
    </cfRule>
  </conditionalFormatting>
  <conditionalFormatting sqref="D210">
    <cfRule type="containsText" dxfId="6346" priority="5021" operator="containsText" text="[pluk]">
      <formula>NOT(ISERROR(SEARCH("[pluk]",D210)))</formula>
    </cfRule>
    <cfRule type="cellIs" dxfId="6345" priority="5022" operator="equal">
      <formula>"_"</formula>
    </cfRule>
  </conditionalFormatting>
  <conditionalFormatting sqref="D212:D217">
    <cfRule type="containsText" dxfId="6344" priority="5013" operator="containsText" text="[pluk]">
      <formula>NOT(ISERROR(SEARCH("[pluk]",D212)))</formula>
    </cfRule>
    <cfRule type="cellIs" dxfId="6343" priority="5014" operator="equal">
      <formula>"_"</formula>
    </cfRule>
  </conditionalFormatting>
  <conditionalFormatting sqref="D212:D218">
    <cfRule type="containsText" dxfId="6342" priority="5015" operator="containsText" text="[adv]">
      <formula>NOT(ISERROR(SEARCH("[adv]",D212)))</formula>
    </cfRule>
  </conditionalFormatting>
  <conditionalFormatting sqref="D218">
    <cfRule type="containsText" dxfId="6341" priority="5016" operator="containsText" text="[pluk]">
      <formula>NOT(ISERROR(SEARCH("[pluk]",D218)))</formula>
    </cfRule>
    <cfRule type="cellIs" dxfId="6340" priority="5017" operator="equal">
      <formula>"_"</formula>
    </cfRule>
  </conditionalFormatting>
  <conditionalFormatting sqref="D220:D225">
    <cfRule type="containsText" dxfId="6339" priority="5008" operator="containsText" text="[pluk]">
      <formula>NOT(ISERROR(SEARCH("[pluk]",D220)))</formula>
    </cfRule>
    <cfRule type="cellIs" dxfId="6338" priority="5009" operator="equal">
      <formula>"_"</formula>
    </cfRule>
  </conditionalFormatting>
  <conditionalFormatting sqref="D220:D226">
    <cfRule type="containsText" dxfId="6337" priority="5010" operator="containsText" text="[adv]">
      <formula>NOT(ISERROR(SEARCH("[adv]",D220)))</formula>
    </cfRule>
  </conditionalFormatting>
  <conditionalFormatting sqref="D226">
    <cfRule type="containsText" dxfId="6336" priority="5011" operator="containsText" text="[pluk]">
      <formula>NOT(ISERROR(SEARCH("[pluk]",D226)))</formula>
    </cfRule>
    <cfRule type="cellIs" dxfId="6335" priority="5012" operator="equal">
      <formula>"_"</formula>
    </cfRule>
  </conditionalFormatting>
  <conditionalFormatting sqref="D228:D233">
    <cfRule type="containsText" dxfId="6334" priority="5003" operator="containsText" text="[pluk]">
      <formula>NOT(ISERROR(SEARCH("[pluk]",D228)))</formula>
    </cfRule>
    <cfRule type="cellIs" dxfId="6333" priority="5004" operator="equal">
      <formula>"_"</formula>
    </cfRule>
  </conditionalFormatting>
  <conditionalFormatting sqref="D228:D234">
    <cfRule type="containsText" dxfId="6332" priority="5005" operator="containsText" text="[adv]">
      <formula>NOT(ISERROR(SEARCH("[adv]",D228)))</formula>
    </cfRule>
  </conditionalFormatting>
  <conditionalFormatting sqref="D234">
    <cfRule type="containsText" dxfId="6331" priority="5006" operator="containsText" text="[pluk]">
      <formula>NOT(ISERROR(SEARCH("[pluk]",D234)))</formula>
    </cfRule>
    <cfRule type="cellIs" dxfId="6330" priority="5007" operator="equal">
      <formula>"_"</formula>
    </cfRule>
  </conditionalFormatting>
  <conditionalFormatting sqref="D236:D241">
    <cfRule type="containsText" dxfId="6329" priority="4998" operator="containsText" text="[pluk]">
      <formula>NOT(ISERROR(SEARCH("[pluk]",D236)))</formula>
    </cfRule>
    <cfRule type="cellIs" dxfId="6328" priority="4999" operator="equal">
      <formula>"_"</formula>
    </cfRule>
  </conditionalFormatting>
  <conditionalFormatting sqref="D236:D242">
    <cfRule type="containsText" dxfId="6327" priority="5000" operator="containsText" text="[adv]">
      <formula>NOT(ISERROR(SEARCH("[adv]",D236)))</formula>
    </cfRule>
  </conditionalFormatting>
  <conditionalFormatting sqref="D242">
    <cfRule type="containsText" dxfId="6326" priority="5001" operator="containsText" text="[pluk]">
      <formula>NOT(ISERROR(SEARCH("[pluk]",D242)))</formula>
    </cfRule>
    <cfRule type="cellIs" dxfId="6325" priority="5002" operator="equal">
      <formula>"_"</formula>
    </cfRule>
  </conditionalFormatting>
  <conditionalFormatting sqref="D244:D249">
    <cfRule type="containsText" dxfId="6324" priority="4993" operator="containsText" text="[pluk]">
      <formula>NOT(ISERROR(SEARCH("[pluk]",D244)))</formula>
    </cfRule>
    <cfRule type="cellIs" dxfId="6323" priority="4994" operator="equal">
      <formula>"_"</formula>
    </cfRule>
  </conditionalFormatting>
  <conditionalFormatting sqref="D244:D250">
    <cfRule type="containsText" dxfId="6322" priority="4995" operator="containsText" text="[adv]">
      <formula>NOT(ISERROR(SEARCH("[adv]",D244)))</formula>
    </cfRule>
  </conditionalFormatting>
  <conditionalFormatting sqref="D250">
    <cfRule type="containsText" dxfId="6321" priority="4996" operator="containsText" text="[pluk]">
      <formula>NOT(ISERROR(SEARCH("[pluk]",D250)))</formula>
    </cfRule>
    <cfRule type="cellIs" dxfId="6320" priority="4997" operator="equal">
      <formula>"_"</formula>
    </cfRule>
  </conditionalFormatting>
  <conditionalFormatting sqref="D252:D257">
    <cfRule type="containsText" dxfId="6319" priority="4988" operator="containsText" text="[pluk]">
      <formula>NOT(ISERROR(SEARCH("[pluk]",D252)))</formula>
    </cfRule>
    <cfRule type="cellIs" dxfId="6318" priority="4989" operator="equal">
      <formula>"_"</formula>
    </cfRule>
  </conditionalFormatting>
  <conditionalFormatting sqref="D252:D258">
    <cfRule type="containsText" dxfId="6317" priority="4990" operator="containsText" text="[adv]">
      <formula>NOT(ISERROR(SEARCH("[adv]",D252)))</formula>
    </cfRule>
  </conditionalFormatting>
  <conditionalFormatting sqref="D258">
    <cfRule type="containsText" dxfId="6316" priority="4991" operator="containsText" text="[pluk]">
      <formula>NOT(ISERROR(SEARCH("[pluk]",D258)))</formula>
    </cfRule>
    <cfRule type="cellIs" dxfId="6315" priority="4992" operator="equal">
      <formula>"_"</formula>
    </cfRule>
  </conditionalFormatting>
  <conditionalFormatting sqref="D260:D265">
    <cfRule type="containsText" dxfId="6314" priority="4983" operator="containsText" text="[pluk]">
      <formula>NOT(ISERROR(SEARCH("[pluk]",D260)))</formula>
    </cfRule>
    <cfRule type="cellIs" dxfId="6313" priority="4984" operator="equal">
      <formula>"_"</formula>
    </cfRule>
  </conditionalFormatting>
  <conditionalFormatting sqref="D260:D266">
    <cfRule type="containsText" dxfId="6312" priority="4985" operator="containsText" text="[adv]">
      <formula>NOT(ISERROR(SEARCH("[adv]",D260)))</formula>
    </cfRule>
  </conditionalFormatting>
  <conditionalFormatting sqref="D266">
    <cfRule type="containsText" dxfId="6311" priority="4986" operator="containsText" text="[pluk]">
      <formula>NOT(ISERROR(SEARCH("[pluk]",D266)))</formula>
    </cfRule>
    <cfRule type="cellIs" dxfId="6310" priority="4987" operator="equal">
      <formula>"_"</formula>
    </cfRule>
  </conditionalFormatting>
  <conditionalFormatting sqref="D268:D273">
    <cfRule type="containsText" dxfId="6309" priority="4978" operator="containsText" text="[pluk]">
      <formula>NOT(ISERROR(SEARCH("[pluk]",D268)))</formula>
    </cfRule>
    <cfRule type="cellIs" dxfId="6308" priority="4979" operator="equal">
      <formula>"_"</formula>
    </cfRule>
  </conditionalFormatting>
  <conditionalFormatting sqref="D268:D274">
    <cfRule type="containsText" dxfId="6307" priority="4980" operator="containsText" text="[adv]">
      <formula>NOT(ISERROR(SEARCH("[adv]",D268)))</formula>
    </cfRule>
  </conditionalFormatting>
  <conditionalFormatting sqref="D274">
    <cfRule type="containsText" dxfId="6306" priority="4981" operator="containsText" text="[pluk]">
      <formula>NOT(ISERROR(SEARCH("[pluk]",D274)))</formula>
    </cfRule>
    <cfRule type="cellIs" dxfId="6305" priority="4982" operator="equal">
      <formula>"_"</formula>
    </cfRule>
  </conditionalFormatting>
  <conditionalFormatting sqref="D276:D281">
    <cfRule type="containsText" dxfId="6304" priority="4973" operator="containsText" text="[pluk]">
      <formula>NOT(ISERROR(SEARCH("[pluk]",D276)))</formula>
    </cfRule>
    <cfRule type="cellIs" dxfId="6303" priority="4974" operator="equal">
      <formula>"_"</formula>
    </cfRule>
  </conditionalFormatting>
  <conditionalFormatting sqref="D276:D282">
    <cfRule type="containsText" dxfId="6302" priority="4975" operator="containsText" text="[adv]">
      <formula>NOT(ISERROR(SEARCH("[adv]",D276)))</formula>
    </cfRule>
  </conditionalFormatting>
  <conditionalFormatting sqref="D282">
    <cfRule type="containsText" dxfId="6301" priority="4976" operator="containsText" text="[pluk]">
      <formula>NOT(ISERROR(SEARCH("[pluk]",D282)))</formula>
    </cfRule>
    <cfRule type="cellIs" dxfId="6300" priority="4977" operator="equal">
      <formula>"_"</formula>
    </cfRule>
  </conditionalFormatting>
  <conditionalFormatting sqref="D284:D289">
    <cfRule type="containsText" dxfId="6299" priority="4968" operator="containsText" text="[pluk]">
      <formula>NOT(ISERROR(SEARCH("[pluk]",D284)))</formula>
    </cfRule>
    <cfRule type="cellIs" dxfId="6298" priority="4969" operator="equal">
      <formula>"_"</formula>
    </cfRule>
  </conditionalFormatting>
  <conditionalFormatting sqref="D284:D290">
    <cfRule type="containsText" dxfId="6297" priority="4970" operator="containsText" text="[adv]">
      <formula>NOT(ISERROR(SEARCH("[adv]",D284)))</formula>
    </cfRule>
  </conditionalFormatting>
  <conditionalFormatting sqref="D290">
    <cfRule type="containsText" dxfId="6296" priority="4971" operator="containsText" text="[pluk]">
      <formula>NOT(ISERROR(SEARCH("[pluk]",D290)))</formula>
    </cfRule>
    <cfRule type="cellIs" dxfId="6295" priority="4972" operator="equal">
      <formula>"_"</formula>
    </cfRule>
  </conditionalFormatting>
  <conditionalFormatting sqref="D292:D297">
    <cfRule type="containsText" dxfId="6294" priority="4963" operator="containsText" text="[pluk]">
      <formula>NOT(ISERROR(SEARCH("[pluk]",D292)))</formula>
    </cfRule>
    <cfRule type="cellIs" dxfId="6293" priority="4964" operator="equal">
      <formula>"_"</formula>
    </cfRule>
  </conditionalFormatting>
  <conditionalFormatting sqref="D292:D298">
    <cfRule type="containsText" dxfId="6292" priority="4965" operator="containsText" text="[adv]">
      <formula>NOT(ISERROR(SEARCH("[adv]",D292)))</formula>
    </cfRule>
  </conditionalFormatting>
  <conditionalFormatting sqref="D298">
    <cfRule type="containsText" dxfId="6291" priority="4966" operator="containsText" text="[pluk]">
      <formula>NOT(ISERROR(SEARCH("[pluk]",D298)))</formula>
    </cfRule>
    <cfRule type="cellIs" dxfId="6290" priority="4967" operator="equal">
      <formula>"_"</formula>
    </cfRule>
  </conditionalFormatting>
  <conditionalFormatting sqref="D300:D305">
    <cfRule type="containsText" dxfId="6289" priority="4958" operator="containsText" text="[pluk]">
      <formula>NOT(ISERROR(SEARCH("[pluk]",D300)))</formula>
    </cfRule>
    <cfRule type="cellIs" dxfId="6288" priority="4959" operator="equal">
      <formula>"_"</formula>
    </cfRule>
  </conditionalFormatting>
  <conditionalFormatting sqref="D300:D306">
    <cfRule type="containsText" dxfId="6287" priority="4960" operator="containsText" text="[adv]">
      <formula>NOT(ISERROR(SEARCH("[adv]",D300)))</formula>
    </cfRule>
  </conditionalFormatting>
  <conditionalFormatting sqref="D306">
    <cfRule type="containsText" dxfId="6286" priority="4961" operator="containsText" text="[pluk]">
      <formula>NOT(ISERROR(SEARCH("[pluk]",D306)))</formula>
    </cfRule>
    <cfRule type="cellIs" dxfId="6285" priority="4962" operator="equal">
      <formula>"_"</formula>
    </cfRule>
  </conditionalFormatting>
  <conditionalFormatting sqref="D308:D313">
    <cfRule type="containsText" dxfId="6284" priority="4953" operator="containsText" text="[pluk]">
      <formula>NOT(ISERROR(SEARCH("[pluk]",D308)))</formula>
    </cfRule>
    <cfRule type="cellIs" dxfId="6283" priority="4954" operator="equal">
      <formula>"_"</formula>
    </cfRule>
  </conditionalFormatting>
  <conditionalFormatting sqref="D308:D314">
    <cfRule type="containsText" dxfId="6282" priority="4955" operator="containsText" text="[adv]">
      <formula>NOT(ISERROR(SEARCH("[adv]",D308)))</formula>
    </cfRule>
  </conditionalFormatting>
  <conditionalFormatting sqref="D314">
    <cfRule type="containsText" dxfId="6281" priority="4956" operator="containsText" text="[pluk]">
      <formula>NOT(ISERROR(SEARCH("[pluk]",D314)))</formula>
    </cfRule>
    <cfRule type="cellIs" dxfId="6280" priority="4957" operator="equal">
      <formula>"_"</formula>
    </cfRule>
  </conditionalFormatting>
  <conditionalFormatting sqref="D316:D321">
    <cfRule type="containsText" dxfId="6279" priority="4948" operator="containsText" text="[pluk]">
      <formula>NOT(ISERROR(SEARCH("[pluk]",D316)))</formula>
    </cfRule>
    <cfRule type="cellIs" dxfId="6278" priority="4949" operator="equal">
      <formula>"_"</formula>
    </cfRule>
  </conditionalFormatting>
  <conditionalFormatting sqref="D316:D322">
    <cfRule type="containsText" dxfId="6277" priority="4950" operator="containsText" text="[adv]">
      <formula>NOT(ISERROR(SEARCH("[adv]",D316)))</formula>
    </cfRule>
  </conditionalFormatting>
  <conditionalFormatting sqref="D322">
    <cfRule type="containsText" dxfId="6276" priority="4951" operator="containsText" text="[pluk]">
      <formula>NOT(ISERROR(SEARCH("[pluk]",D322)))</formula>
    </cfRule>
    <cfRule type="cellIs" dxfId="6275" priority="4952" operator="equal">
      <formula>"_"</formula>
    </cfRule>
  </conditionalFormatting>
  <conditionalFormatting sqref="D324:D329">
    <cfRule type="containsText" dxfId="6274" priority="4943" operator="containsText" text="[pluk]">
      <formula>NOT(ISERROR(SEARCH("[pluk]",D324)))</formula>
    </cfRule>
    <cfRule type="cellIs" dxfId="6273" priority="4944" operator="equal">
      <formula>"_"</formula>
    </cfRule>
  </conditionalFormatting>
  <conditionalFormatting sqref="D324:D330">
    <cfRule type="containsText" dxfId="6272" priority="4945" operator="containsText" text="[adv]">
      <formula>NOT(ISERROR(SEARCH("[adv]",D324)))</formula>
    </cfRule>
  </conditionalFormatting>
  <conditionalFormatting sqref="D330">
    <cfRule type="containsText" dxfId="6271" priority="4946" operator="containsText" text="[pluk]">
      <formula>NOT(ISERROR(SEARCH("[pluk]",D330)))</formula>
    </cfRule>
    <cfRule type="cellIs" dxfId="6270" priority="4947" operator="equal">
      <formula>"_"</formula>
    </cfRule>
  </conditionalFormatting>
  <conditionalFormatting sqref="D332:D337">
    <cfRule type="containsText" dxfId="6269" priority="4938" operator="containsText" text="[pluk]">
      <formula>NOT(ISERROR(SEARCH("[pluk]",D332)))</formula>
    </cfRule>
    <cfRule type="cellIs" dxfId="6268" priority="4939" operator="equal">
      <formula>"_"</formula>
    </cfRule>
  </conditionalFormatting>
  <conditionalFormatting sqref="D332:D338">
    <cfRule type="containsText" dxfId="6267" priority="4940" operator="containsText" text="[adv]">
      <formula>NOT(ISERROR(SEARCH("[adv]",D332)))</formula>
    </cfRule>
  </conditionalFormatting>
  <conditionalFormatting sqref="D338">
    <cfRule type="containsText" dxfId="6266" priority="4941" operator="containsText" text="[pluk]">
      <formula>NOT(ISERROR(SEARCH("[pluk]",D338)))</formula>
    </cfRule>
    <cfRule type="cellIs" dxfId="6265" priority="4942" operator="equal">
      <formula>"_"</formula>
    </cfRule>
  </conditionalFormatting>
  <conditionalFormatting sqref="D340:D345">
    <cfRule type="containsText" dxfId="6264" priority="4933" operator="containsText" text="[pluk]">
      <formula>NOT(ISERROR(SEARCH("[pluk]",D340)))</formula>
    </cfRule>
    <cfRule type="cellIs" dxfId="6263" priority="4934" operator="equal">
      <formula>"_"</formula>
    </cfRule>
  </conditionalFormatting>
  <conditionalFormatting sqref="D340:D346">
    <cfRule type="containsText" dxfId="6262" priority="4935" operator="containsText" text="[adv]">
      <formula>NOT(ISERROR(SEARCH("[adv]",D340)))</formula>
    </cfRule>
  </conditionalFormatting>
  <conditionalFormatting sqref="D346">
    <cfRule type="containsText" dxfId="6261" priority="4936" operator="containsText" text="[pluk]">
      <formula>NOT(ISERROR(SEARCH("[pluk]",D346)))</formula>
    </cfRule>
    <cfRule type="cellIs" dxfId="6260" priority="4937" operator="equal">
      <formula>"_"</formula>
    </cfRule>
  </conditionalFormatting>
  <conditionalFormatting sqref="D348:D353">
    <cfRule type="containsText" dxfId="6259" priority="4930" operator="containsText" text="[pluk]">
      <formula>NOT(ISERROR(SEARCH("[pluk]",D348)))</formula>
    </cfRule>
    <cfRule type="cellIs" dxfId="6258" priority="4931" operator="equal">
      <formula>"_"</formula>
    </cfRule>
  </conditionalFormatting>
  <conditionalFormatting sqref="D348:D354">
    <cfRule type="containsText" dxfId="6257" priority="4932" operator="containsText" text="[adv]">
      <formula>NOT(ISERROR(SEARCH("[adv]",D348)))</formula>
    </cfRule>
  </conditionalFormatting>
  <conditionalFormatting sqref="D356:D361">
    <cfRule type="containsText" dxfId="6256" priority="4925" operator="containsText" text="[pluk]">
      <formula>NOT(ISERROR(SEARCH("[pluk]",D356)))</formula>
    </cfRule>
    <cfRule type="cellIs" dxfId="6255" priority="4926" operator="equal">
      <formula>"_"</formula>
    </cfRule>
  </conditionalFormatting>
  <conditionalFormatting sqref="D356:D362">
    <cfRule type="containsText" dxfId="6254" priority="4927" operator="containsText" text="[adv]">
      <formula>NOT(ISERROR(SEARCH("[adv]",D356)))</formula>
    </cfRule>
  </conditionalFormatting>
  <conditionalFormatting sqref="D362">
    <cfRule type="containsText" dxfId="6253" priority="4928" operator="containsText" text="[pluk]">
      <formula>NOT(ISERROR(SEARCH("[pluk]",D362)))</formula>
    </cfRule>
    <cfRule type="cellIs" dxfId="6252" priority="4929" operator="equal">
      <formula>"_"</formula>
    </cfRule>
  </conditionalFormatting>
  <conditionalFormatting sqref="D364:D369">
    <cfRule type="containsText" dxfId="6251" priority="4920" operator="containsText" text="[pluk]">
      <formula>NOT(ISERROR(SEARCH("[pluk]",D364)))</formula>
    </cfRule>
    <cfRule type="cellIs" dxfId="6250" priority="4921" operator="equal">
      <formula>"_"</formula>
    </cfRule>
  </conditionalFormatting>
  <conditionalFormatting sqref="D364:D370">
    <cfRule type="containsText" dxfId="6249" priority="4922" operator="containsText" text="[adv]">
      <formula>NOT(ISERROR(SEARCH("[adv]",D364)))</formula>
    </cfRule>
  </conditionalFormatting>
  <conditionalFormatting sqref="D370">
    <cfRule type="containsText" dxfId="6248" priority="4923" operator="containsText" text="[pluk]">
      <formula>NOT(ISERROR(SEARCH("[pluk]",D370)))</formula>
    </cfRule>
    <cfRule type="cellIs" dxfId="6247" priority="4924" operator="equal">
      <formula>"_"</formula>
    </cfRule>
  </conditionalFormatting>
  <conditionalFormatting sqref="D372:D377">
    <cfRule type="containsText" dxfId="6246" priority="4915" operator="containsText" text="[pluk]">
      <formula>NOT(ISERROR(SEARCH("[pluk]",D372)))</formula>
    </cfRule>
    <cfRule type="cellIs" dxfId="6245" priority="4916" operator="equal">
      <formula>"_"</formula>
    </cfRule>
  </conditionalFormatting>
  <conditionalFormatting sqref="D372:D378">
    <cfRule type="containsText" dxfId="6244" priority="4917" operator="containsText" text="[adv]">
      <formula>NOT(ISERROR(SEARCH("[adv]",D372)))</formula>
    </cfRule>
  </conditionalFormatting>
  <conditionalFormatting sqref="D378">
    <cfRule type="containsText" dxfId="6243" priority="4918" operator="containsText" text="[pluk]">
      <formula>NOT(ISERROR(SEARCH("[pluk]",D378)))</formula>
    </cfRule>
    <cfRule type="cellIs" dxfId="6242" priority="4919" operator="equal">
      <formula>"_"</formula>
    </cfRule>
  </conditionalFormatting>
  <conditionalFormatting sqref="D380:D385">
    <cfRule type="containsText" dxfId="6241" priority="4910" operator="containsText" text="[pluk]">
      <formula>NOT(ISERROR(SEARCH("[pluk]",D380)))</formula>
    </cfRule>
    <cfRule type="cellIs" dxfId="6240" priority="4911" operator="equal">
      <formula>"_"</formula>
    </cfRule>
  </conditionalFormatting>
  <conditionalFormatting sqref="D380:D386">
    <cfRule type="containsText" dxfId="6239" priority="4912" operator="containsText" text="[adv]">
      <formula>NOT(ISERROR(SEARCH("[adv]",D380)))</formula>
    </cfRule>
  </conditionalFormatting>
  <conditionalFormatting sqref="D386">
    <cfRule type="containsText" dxfId="6238" priority="4913" operator="containsText" text="[pluk]">
      <formula>NOT(ISERROR(SEARCH("[pluk]",D386)))</formula>
    </cfRule>
    <cfRule type="cellIs" dxfId="6237" priority="4914" operator="equal">
      <formula>"_"</formula>
    </cfRule>
  </conditionalFormatting>
  <conditionalFormatting sqref="D388:D393">
    <cfRule type="containsText" dxfId="6236" priority="4905" operator="containsText" text="[pluk]">
      <formula>NOT(ISERROR(SEARCH("[pluk]",D388)))</formula>
    </cfRule>
    <cfRule type="cellIs" dxfId="6235" priority="4906" operator="equal">
      <formula>"_"</formula>
    </cfRule>
  </conditionalFormatting>
  <conditionalFormatting sqref="D388:D394">
    <cfRule type="containsText" dxfId="6234" priority="4907" operator="containsText" text="[adv]">
      <formula>NOT(ISERROR(SEARCH("[adv]",D388)))</formula>
    </cfRule>
  </conditionalFormatting>
  <conditionalFormatting sqref="D394">
    <cfRule type="containsText" dxfId="6233" priority="4908" operator="containsText" text="[pluk]">
      <formula>NOT(ISERROR(SEARCH("[pluk]",D394)))</formula>
    </cfRule>
    <cfRule type="cellIs" dxfId="6232" priority="4909" operator="equal">
      <formula>"_"</formula>
    </cfRule>
  </conditionalFormatting>
  <conditionalFormatting sqref="D396:D401">
    <cfRule type="containsText" dxfId="6231" priority="4900" operator="containsText" text="[pluk]">
      <formula>NOT(ISERROR(SEARCH("[pluk]",D396)))</formula>
    </cfRule>
    <cfRule type="cellIs" dxfId="6230" priority="4901" operator="equal">
      <formula>"_"</formula>
    </cfRule>
  </conditionalFormatting>
  <conditionalFormatting sqref="D396:D402">
    <cfRule type="containsText" dxfId="6229" priority="4902" operator="containsText" text="[adv]">
      <formula>NOT(ISERROR(SEARCH("[adv]",D396)))</formula>
    </cfRule>
  </conditionalFormatting>
  <conditionalFormatting sqref="D402">
    <cfRule type="containsText" dxfId="6228" priority="4903" operator="containsText" text="[pluk]">
      <formula>NOT(ISERROR(SEARCH("[pluk]",D402)))</formula>
    </cfRule>
    <cfRule type="cellIs" dxfId="6227" priority="4904" operator="equal">
      <formula>"_"</formula>
    </cfRule>
  </conditionalFormatting>
  <conditionalFormatting sqref="D404:D409">
    <cfRule type="containsText" dxfId="6226" priority="4895" operator="containsText" text="[pluk]">
      <formula>NOT(ISERROR(SEARCH("[pluk]",D404)))</formula>
    </cfRule>
    <cfRule type="cellIs" dxfId="6225" priority="4896" operator="equal">
      <formula>"_"</formula>
    </cfRule>
  </conditionalFormatting>
  <conditionalFormatting sqref="D404:D410">
    <cfRule type="containsText" dxfId="6224" priority="4897" operator="containsText" text="[adv]">
      <formula>NOT(ISERROR(SEARCH("[adv]",D404)))</formula>
    </cfRule>
  </conditionalFormatting>
  <conditionalFormatting sqref="D410">
    <cfRule type="containsText" dxfId="6223" priority="4898" operator="containsText" text="[pluk]">
      <formula>NOT(ISERROR(SEARCH("[pluk]",D410)))</formula>
    </cfRule>
    <cfRule type="cellIs" dxfId="6222" priority="4899" operator="equal">
      <formula>"_"</formula>
    </cfRule>
  </conditionalFormatting>
  <conditionalFormatting sqref="D412:D417">
    <cfRule type="containsText" dxfId="6221" priority="4890" operator="containsText" text="[pluk]">
      <formula>NOT(ISERROR(SEARCH("[pluk]",D412)))</formula>
    </cfRule>
    <cfRule type="cellIs" dxfId="6220" priority="4891" operator="equal">
      <formula>"_"</formula>
    </cfRule>
  </conditionalFormatting>
  <conditionalFormatting sqref="D412:D418">
    <cfRule type="containsText" dxfId="6219" priority="4892" operator="containsText" text="[adv]">
      <formula>NOT(ISERROR(SEARCH("[adv]",D412)))</formula>
    </cfRule>
  </conditionalFormatting>
  <conditionalFormatting sqref="D418">
    <cfRule type="containsText" dxfId="6218" priority="4893" operator="containsText" text="[pluk]">
      <formula>NOT(ISERROR(SEARCH("[pluk]",D418)))</formula>
    </cfRule>
    <cfRule type="cellIs" dxfId="6217" priority="4894" operator="equal">
      <formula>"_"</formula>
    </cfRule>
  </conditionalFormatting>
  <conditionalFormatting sqref="E1:E2 AB2">
    <cfRule type="cellIs" dxfId="6216" priority="5983" operator="equal">
      <formula>"GJ+"</formula>
    </cfRule>
    <cfRule type="cellIs" dxfId="6215" priority="5984" operator="equal">
      <formula>"GJ"</formula>
    </cfRule>
    <cfRule type="cellIs" dxfId="6214" priority="5985" operator="equal">
      <formula>"GJ*"</formula>
    </cfRule>
  </conditionalFormatting>
  <conditionalFormatting sqref="E3:E119 E130:E199 E201:E405 E410:E1048576 AB3:AB102 P28:P419 AB104:AB119 AB128:AB419 AB121:AB126 E408 E121:E128">
    <cfRule type="cellIs" dxfId="6213" priority="8004" operator="equal">
      <formula>"GJ+"</formula>
    </cfRule>
    <cfRule type="cellIs" dxfId="6212" priority="8006" operator="equal">
      <formula>"GJ*"</formula>
    </cfRule>
  </conditionalFormatting>
  <conditionalFormatting sqref="E4:E7 P45:P47 P57">
    <cfRule type="containsText" dxfId="6211" priority="4239" operator="containsText" text="[pluk]">
      <formula>NOT(ISERROR(SEARCH("[pluk]",E4)))</formula>
    </cfRule>
    <cfRule type="cellIs" dxfId="6210" priority="4240" operator="equal">
      <formula>"HK*"</formula>
    </cfRule>
    <cfRule type="cellIs" dxfId="6209" priority="4241" operator="equal">
      <formula>"HK"</formula>
    </cfRule>
    <cfRule type="cellIs" dxfId="6208" priority="4242" operator="equal">
      <formula>"HK+"</formula>
    </cfRule>
    <cfRule type="cellIs" dxfId="6207" priority="4243" operator="equal">
      <formula>"ID"</formula>
    </cfRule>
    <cfRule type="cellIs" dxfId="6206" priority="4244" operator="equal">
      <formula>"ID*"</formula>
    </cfRule>
  </conditionalFormatting>
  <conditionalFormatting sqref="E4:E10 P45:P50 P57">
    <cfRule type="cellIs" dxfId="6205" priority="4238" operator="equal">
      <formula>"ID+"</formula>
    </cfRule>
  </conditionalFormatting>
  <conditionalFormatting sqref="E8:E10">
    <cfRule type="containsText" dxfId="6204" priority="4245" operator="containsText" text="[pluk]">
      <formula>NOT(ISERROR(SEARCH("[pluk]",E8)))</formula>
    </cfRule>
    <cfRule type="cellIs" dxfId="6203" priority="4246" operator="equal">
      <formula>"HK*"</formula>
    </cfRule>
    <cfRule type="cellIs" dxfId="6202" priority="4247" operator="equal">
      <formula>"HK"</formula>
    </cfRule>
    <cfRule type="cellIs" dxfId="6201" priority="4248" operator="equal">
      <formula>"HK+"</formula>
    </cfRule>
    <cfRule type="cellIs" dxfId="6200" priority="4249" operator="equal">
      <formula>"ID"</formula>
    </cfRule>
    <cfRule type="cellIs" dxfId="6199" priority="4250" operator="equal">
      <formula>"ID*"</formula>
    </cfRule>
  </conditionalFormatting>
  <conditionalFormatting sqref="E10">
    <cfRule type="containsText" dxfId="6198" priority="3528" operator="containsText" text="[pluk]">
      <formula>NOT(ISERROR(SEARCH("[pluk]",E10)))</formula>
    </cfRule>
  </conditionalFormatting>
  <conditionalFormatting sqref="E12:E16 E18:E26 E28:E119 E121:E156 AB127:AC130 AB132:AC138 AB140:AC146 AB148:AC154 AB156:AC162 E158:E164 AB164:AC170 E166:E168 E170:E200 AB172:AC178 AB180:AC186 AB188:AC194 AB196:AC202 D203:E203 AB204:AC210 E205 D211:E211 AB212:AC218 D219:E219 AB220:AC226 E225 D227:E227 AB228:AC234 D235:E235 AB236:AC242 D243:E243 AB244:AC250 E245 AB252:AC258 E253 AB260:AC266 D267:E267 AB268:AC274 D275:E275 AB276:AC282 E283 AB284:AC290 E288 E291 AB292:AC298 D299:E299 AB300:AC306 E302 D307:E307 AB308:AC308 D315:E315 D323:E323 D331:E331 D339:E339 D347:E347 D363:E363 D371:E371 D379:E379 E387 E395 D403:E403 D411:E411 AB109:AB114 AB116:AB119 AB120:AC122 AB124:AB126 G113:G114 S114 U114:X114 AC114 G116:G117 S116:S119 U116:X119 H117:L117 G118:L118 G121:L122 S121:S122 U121:X122 G124 I124:L124 AC124:AC125 S124:S130 U124:X130 G125:L126 G129:L130 S132:S138 U132:X138 G135 G136:L136 S140:S146 U140:X146 I143:L143 G144:L146 G148:L148 S148:S154 G149:H150 U151:X154 G153:L154 S157:S162 U157:X162 U164:X170 H167:L167 S167:S170 G178 S180:S186 U180:X186 S188:S194 U188:X194 AE188:AJ194 S196:S201 U196:X201 AE196:AJ202 AE204:AJ210 AE212:AJ218 AE220:AJ226 AE228:AJ234 AE236:AJ242 AE244:AJ250 AE252:AJ258 AE260:AJ266 AE268:AJ274 AE276:AJ282 AE284:AJ290 AE292:AJ298 AE300:AJ306 AE109:AJ114 AE117:AJ122 AE125:AF125 AE127:AJ130 AE132:AJ138 AE140:AJ146 H134 G137:H137 G133:H133 AE148:AJ154 AE164:AJ170 G158:H158 G165:L166 G156 G182:H183 S172:S178 G180:G181 AE180:AJ183 H197:H198 AE156:AJ162 I169:L169 G170:L170 G172:L172 U172:X178 AE172:AJ178 G202:L202 G204:L210 G212:L216 I236:L238 AG308:AJ308 G174:H174 G173 G192:H193 G200:H200 G225:H225 H232 AE308 G175 G245:H245 G253:H253 A300:A306 A308:A314 A316:A322 A332:A338 A340:A346 A348:A354 A364:A370 A372:A378 A380:A386 A404:A410">
    <cfRule type="containsText" dxfId="6197" priority="8009" operator="containsText" text="[pluk]">
      <formula>NOT(ISERROR(SEARCH("[pluk]",A12)))</formula>
    </cfRule>
  </conditionalFormatting>
  <conditionalFormatting sqref="E12:E16 E18:E26 E28:E119 AB109:AB114 AB116:AB119 AB121:AB122 E121:E128 AB124:AB126 AB128:AB130 E130:E199 AB132:AB138 AB140:AB146 AB148:AB154 AB156:AB162 AB164:AB170 AB172:AB178 AB180:AB186 AB188:AB194 AB196:AB202 E201:E405 AB204:AB210 AB212:AB218 AB220:AB226 AB228:AB234 AB236:AB242 AB244:AB250 AB252:AB258 AB260:AB266 AB268:AB274 AB276:AB282 AB284:AB290 AB292:AB298 AB300:AB306 AB308:AB314 E410:E419 AB316:AB322 AB324:AB330 AB332:AB338 AB340:AB346 AB348:AB354 AB356:AB362 AB364:AB370 AB372:AB378 AB380:AB386 AB388:AB394 AB396:AB402 AB404:AB410 AB412:AB419 E408 P45:P50">
    <cfRule type="cellIs" dxfId="6196" priority="8012" operator="equal">
      <formula>"HK+"</formula>
    </cfRule>
    <cfRule type="cellIs" dxfId="6195" priority="8014" operator="equal">
      <formula>"ID*"</formula>
    </cfRule>
  </conditionalFormatting>
  <conditionalFormatting sqref="E12:E16 E18:E26 AB128:AB130 E408 E121:E128 AB132:AB138 AB140:AB146 AB148:AB154 AB156:AB162 AB164:AB170 AB172:AB178 AB180:AB186 AB188:AB194 AB196:AB202 E130:E199 AB204:AB210 AB212:AB218 AB220:AB226 AB228:AB234 AB236:AB242 AB244:AB250 AB252:AB258 AB260:AB266 AB268:AB274 AB276:AB282 AB284:AB290 AB292:AB298 AB300:AB306 AB308:AB314 AB316:AB322 AB324:AB330 AB332:AB338 AB340:AB346 AB348:AB354 AB356:AB362 AB364:AB370 AB372:AB378 AB380:AB386 AB388:AB394 AB396:AB402 AB404:AB410 E201:E405 AB412:AB419 E410:E419 E28:E119">
    <cfRule type="cellIs" dxfId="6194" priority="8008" operator="equal">
      <formula>"ID+"</formula>
    </cfRule>
  </conditionalFormatting>
  <conditionalFormatting sqref="E12:E26 AB109:AB114 AB121:AB122 AB128:AB130 AN128:XFD411 AE148:AJ154 G162:L162 G165:L166 G167:G169 I169:L169 G170:L170 G173 G174:H174 G175 C177:C178 S168:S170 G182:H182 AB184 AB185:AC186 AE186:AJ186 AB190:AB194 H197:H198 AC199 AE199:AF199 G202:L202 G221:L221 H222:L226 G225 I236:L238 H239:L242 G245 G253 A285:A290 H287:L288 G287:G290 G302:H302 A389:A394 C419:L419 AC3:AC12 H333:L338 C3:L3 N3:X3 AD3:AJ3 I4:L9 U17:X18 R19:X19 I173:L173 H218:L218 S236:S242 S252:S258 H261:L262 G263:L263 H264:L266 I269:L274 H278:L280 G281:L282 I289:L289 H290:L290 I294:L294 G295:L298 I302:L306 AE309:AJ314 G326:L330 I332:L332 S346 I361:L361 G365:L366 I372:L375 G376:L378 G408:L410 AC419:AJ419 H420:L420 Z3:AB3 C4:E9 N4:O75 O76:O82 AL148:AM154 G228 G232 P236:Q240 Q241:Q242 Q252:Q258 H303:H306 Q308:Q314 AC309:AC314 H317:H322 G332:G338 Q346 G374:H375 G392:G394 H396 H398:L402 A420:B1048576 G271:H274 G265 S308:S314 H270 B412 E10 AN19:XFD19 AN25:XFD96 AN124:XFD126 B366:B370 B378 S160:S162 U346:X346 U309:X314 U252:X258 U236:X242 U168:X170 U160:X162 AB116:AB119 AB124:AB126 E121:E128 AB132:AB138 AB140:AB146 AB148:AC154 AB156:AC162 AL156:AM162 AE156:AJ162 AE164:AJ170 AL164:AM170 AB164:AC170 U164:X166 S164:S165 AB172:AC178 B173:B176 A172:A178 AL172:AM178 AE172:AJ178 U172:X178 S172:S178 G172:L172 A3:B67 S180 AE180:AJ183 AL180:AM186 A180:A186 AB180:AC183 C180:C186 A179:B179 C188:C194 A188:A194 AL188:AM194 AE188:AJ188 AB188:AC188 A187:B187 AL196:AM202 A196:A202 C196:C202 AB196:AB202 E130:E199 A195:B195 AB204:AB210 C204:C210 A204:A210 AL204:AM210 G204:L210 A203:B203 G212:L216 AL212:AM218 A212:A218 C212:C218 AB212:AB218 A211:B211 AB220:AB226 C220:C226 A220:A226 AL220:AM226 H220:L220 A219:B219 AL228:AM234 A228:A234 C228:C234 AB228:AB234 H228:L234 A227:B227 AB236:AB242 C236:C242 A236:A242 AL236:AM242 A235:B235 AL244:AM250 A244:A250 C244:C250 AB244:AB250 H244:L250 A243:B243 H252:L258 AB252:AB258 C252:C258 A252:A258 AL252:AM258 A251:B251 AL260:AM266 A260:A266 C260:C266 AB260:AB266 U260:X266 Q260:Q266 S260:S266 A259:B259 S268:S274 Q268:Q274 U268:X274 AB268:AB274 C268:C274 A268:A274 AL268:AM274 H268:L268 A267:B267 AL276:AM282 A276:A282 C276:C282 AB276:AB282 U276:X282 Q276:Q282 S276:S282 H276 G276:G280 I276:L277 A275:B275 S284:S290 Q284:Q290 U284:X290 AB284:AB290 C284:C290 AL284:AM290 G284:L286 A283:B283 AL292:AM298 C292:C298 AB292:AB298 U292:X298 Q292:Q298 S292:S298 H292:L293 G292:G294 A292:A298 A291:B291 A300:A306 S300:S303 Q300:Q303 U300:X303 AB300:AB306 C300:C306 AL300:AM306 G300:L301 A299:B299 AL308:AM314 C308:C314 AB308:AB314 A308:A314 H308:L314 A307:B307 I316:L322 A316:A322 C316:C322 AL316:AM322 U316:X322 S316:S322 AB316:AC322 Q316:Q322 AE316:AJ322 A315:B315 AE324:AJ330 Q324:Q330 S324:S330 U324:X330 AL324:AM330 C324:C330 AB324:AC330 A324:A330 I324:L325 A323:B323 A332:A338 C332:C338 AL332:AM338 U332:X338 S332:S338 AB332:AC338 Q332:Q338 AE332:AJ338 A331:B331 AE340:AJ346 Q340:Q343 S340:S343 U340:X343 AL340:AM346 C340:C346 AB340:AC346 A340:A346 G340:L346 A339:B339 G348:L354 A348:A354 C348:C354 AL348:AM354 AB348:AC354 AE348:AJ354 U348:X354 Q348:Q354 S348:S354 A347:B347 S356:S362 Q356:Q362 U356:X362 AE356:AJ362 AL356:AM362 C356:C362 AB356:AC362 A356:A362 G356:G362 H356:L360 A355:B355 G364 A364:A370 C364:C370 AL364:AM370 AB364:AC370 AE364:AJ370 U364:X370 Q364:Q370 S364:S370 A363:B363 S372:S378 Q372:Q378 U372:X378 AE372:AJ378 AL372:AM378 C372:C378 AB372:AC378 A372:A378 B372:B376 A371:B371 C380:C386 AL380:AM386 AB380:AC386 AE380:AJ386 U380:X382 Q380:Q382 S380:S382 G380:L386 G388:L391 AE388:AJ394 AL388:AM394 C388:C394 AB388:AC394 A379:B380 C396:C402 AL396:AM402 AB396:AC402 AE396:AJ402 G396:G402 A396:A402 A395:B395 A404:A410 AE404:AJ410 AL404:AM410 C404:C410 AB404:AC410 G404:H405 I404:L407 E201:E405 A403:B403 AB412:AB419 C412:C418 C420:D420 AL412:AM1048576 AC412:AC418 AE412:AJ418 A412:A419 G412:L418 N83:O419 E408:E418 A411:B411 A69:B86 A68 A137:B171 A136 A382:B387 A381 E28:E119 A88:B135 A87">
    <cfRule type="cellIs" dxfId="6193" priority="8015" operator="equal">
      <formula>"_"</formula>
    </cfRule>
  </conditionalFormatting>
  <conditionalFormatting sqref="E15:E16 E18:E26">
    <cfRule type="containsText" dxfId="6192" priority="8007" operator="containsText" text="[adv]">
      <formula>NOT(ISERROR(SEARCH("[adv]",E15)))</formula>
    </cfRule>
  </conditionalFormatting>
  <conditionalFormatting sqref="E16 E18">
    <cfRule type="containsText" dxfId="6191" priority="4251" operator="containsText" text="[adv]">
      <formula>NOT(ISERROR(SEARCH("[adv]",E16)))</formula>
    </cfRule>
  </conditionalFormatting>
  <conditionalFormatting sqref="E17">
    <cfRule type="cellIs" dxfId="6190" priority="3529" operator="equal">
      <formula>"ID+"</formula>
    </cfRule>
    <cfRule type="containsText" dxfId="6189" priority="3530" operator="containsText" text="[pluk]">
      <formula>NOT(ISERROR(SEARCH("[pluk]",E17)))</formula>
    </cfRule>
    <cfRule type="cellIs" dxfId="6188" priority="3531" operator="equal">
      <formula>"HK*"</formula>
    </cfRule>
    <cfRule type="cellIs" dxfId="6187" priority="3532" operator="equal">
      <formula>"HK"</formula>
    </cfRule>
    <cfRule type="cellIs" dxfId="6186" priority="3533" operator="equal">
      <formula>"HK+"</formula>
    </cfRule>
    <cfRule type="cellIs" dxfId="6185" priority="3534" operator="equal">
      <formula>"ID"</formula>
    </cfRule>
    <cfRule type="cellIs" dxfId="6184" priority="3535" operator="equal">
      <formula>"ID*"</formula>
    </cfRule>
    <cfRule type="containsText" dxfId="6183" priority="3536" operator="containsText" text="[pluk]">
      <formula>NOT(ISERROR(SEARCH("[pluk]",E17)))</formula>
    </cfRule>
    <cfRule type="cellIs" dxfId="6182" priority="3537" operator="equal">
      <formula>"ID+"</formula>
    </cfRule>
    <cfRule type="cellIs" dxfId="6181" priority="3538" operator="equal">
      <formula>"HK*"</formula>
    </cfRule>
    <cfRule type="cellIs" dxfId="6180" priority="3539" operator="equal">
      <formula>"HK"</formula>
    </cfRule>
    <cfRule type="cellIs" dxfId="6179" priority="3540" operator="equal">
      <formula>"HK+"</formula>
    </cfRule>
    <cfRule type="cellIs" dxfId="6178" priority="3541" operator="equal">
      <formula>"ID"</formula>
    </cfRule>
    <cfRule type="cellIs" dxfId="6177" priority="3542" operator="equal">
      <formula>"ID*"</formula>
    </cfRule>
    <cfRule type="containsText" dxfId="6176" priority="3543" operator="containsText" text="[adv]">
      <formula>NOT(ISERROR(SEARCH("[adv]",E17)))</formula>
    </cfRule>
    <cfRule type="containsText" dxfId="6175" priority="3544" operator="containsText" text="[adv]">
      <formula>NOT(ISERROR(SEARCH("[adv]",E17)))</formula>
    </cfRule>
  </conditionalFormatting>
  <conditionalFormatting sqref="E20:E22">
    <cfRule type="containsText" dxfId="6174" priority="4252" operator="containsText" text="[adv]">
      <formula>NOT(ISERROR(SEARCH("[adv]",E20)))</formula>
    </cfRule>
  </conditionalFormatting>
  <conditionalFormatting sqref="E24:E26">
    <cfRule type="containsText" dxfId="6173" priority="4253" operator="containsText" text="[adv]">
      <formula>NOT(ISERROR(SEARCH("[adv]",E24)))</formula>
    </cfRule>
  </conditionalFormatting>
  <conditionalFormatting sqref="E27 P35 P43 P51 P59 P67 P75 P419 E420:E1048576 P420:Q1048576 AB420:AC1048576 P83 P91 P99 P107 P115 P123 P131 P139 P147 P155 P163 P171 P179 P187 P195 P203 P211 P219 P227 P235 P243 P251 P259 P267 P275 P283 P291 P299 P307 P315 P323 P331 P339 P347 P355 P363 P371 P379 P387 P395 P403 P411">
    <cfRule type="cellIs" dxfId="6172" priority="9393" operator="equal">
      <formula>"ID+"</formula>
    </cfRule>
  </conditionalFormatting>
  <conditionalFormatting sqref="E27 P35 P43 P59 P67 P75 P419 E420:E1048576 P420:Q1048576 AB420:AC1048576 P83 P91 P99 P107 P115 P123 P131 P139 P147 P155 P163 P171 P179 P187 P195 P203 P211 P219 P227 P235 P243 P251 P259 P267 P275 P283 P291 P299 P307 P315 P323 P331 P339 P347 P355 P363 P371 P379 P387 P395 P403 P411 P45:P51 P57">
    <cfRule type="cellIs" dxfId="6171" priority="9405" operator="equal">
      <formula>"HK*"</formula>
    </cfRule>
    <cfRule type="cellIs" dxfId="6170" priority="9406" operator="equal">
      <formula>"HK"</formula>
    </cfRule>
    <cfRule type="cellIs" dxfId="6169" priority="9408" operator="equal">
      <formula>"ID"</formula>
    </cfRule>
  </conditionalFormatting>
  <conditionalFormatting sqref="E31">
    <cfRule type="containsText" dxfId="6168" priority="5135" operator="containsText" text="[adv]">
      <formula>NOT(ISERROR(SEARCH("[adv]",E31)))</formula>
    </cfRule>
  </conditionalFormatting>
  <conditionalFormatting sqref="E39">
    <cfRule type="containsText" dxfId="6167" priority="1330" operator="containsText" text="[adv]">
      <formula>NOT(ISERROR(SEARCH("[adv]",E39)))</formula>
    </cfRule>
    <cfRule type="containsText" dxfId="6166" priority="5121" operator="containsText" text="[adv]">
      <formula>NOT(ISERROR(SEARCH("[adv]",E39)))</formula>
    </cfRule>
  </conditionalFormatting>
  <conditionalFormatting sqref="E47">
    <cfRule type="containsText" dxfId="6165" priority="5118" operator="containsText" text="[adv]">
      <formula>NOT(ISERROR(SEARCH("[adv]",E47)))</formula>
    </cfRule>
  </conditionalFormatting>
  <conditionalFormatting sqref="E55">
    <cfRule type="containsText" dxfId="6164" priority="5115" operator="containsText" text="[adv]">
      <formula>NOT(ISERROR(SEARCH("[adv]",E55)))</formula>
    </cfRule>
  </conditionalFormatting>
  <conditionalFormatting sqref="E63">
    <cfRule type="containsText" dxfId="6163" priority="5112" operator="containsText" text="[adv]">
      <formula>NOT(ISERROR(SEARCH("[adv]",E63)))</formula>
    </cfRule>
  </conditionalFormatting>
  <conditionalFormatting sqref="E68">
    <cfRule type="containsText" dxfId="6162" priority="7581" operator="containsText" text="[adv]">
      <formula>NOT(ISERROR(SEARCH("[adv]",E68)))</formula>
    </cfRule>
  </conditionalFormatting>
  <conditionalFormatting sqref="E74">
    <cfRule type="containsText" dxfId="6161" priority="1082" operator="containsText" text="[adv]">
      <formula>NOT(ISERROR(SEARCH("[adv]",E74)))</formula>
    </cfRule>
  </conditionalFormatting>
  <conditionalFormatting sqref="E79">
    <cfRule type="containsText" dxfId="6160" priority="7578" operator="containsText" text="[adv]">
      <formula>NOT(ISERROR(SEARCH("[adv]",E79)))</formula>
    </cfRule>
  </conditionalFormatting>
  <conditionalFormatting sqref="E84:E89">
    <cfRule type="containsText" dxfId="6159" priority="7573" operator="containsText" text="[adv]">
      <formula>NOT(ISERROR(SEARCH("[adv]",E84)))</formula>
    </cfRule>
  </conditionalFormatting>
  <conditionalFormatting sqref="E90">
    <cfRule type="containsText" dxfId="6158" priority="7628" operator="containsText" text="[adv]">
      <formula>NOT(ISERROR(SEARCH("[adv]",E90)))</formula>
    </cfRule>
  </conditionalFormatting>
  <conditionalFormatting sqref="E92:E98 E102:E106 E108:E111 E113:E114 E140:E146 E172 E174:E178 E212:E218 E220:E226 E236:E242 E260:E266 E271:E274 E276:E282 E292:E298 E316:E322 E332:E338 E340:E346 E348:E354 E356:E362 E364:E370 E372:E378 E380:E386 E388:E394 E396:E402 E412:E418 E15:E16 E20:E26 E28:E34 E18 E44:E50 E36:E42 E52:E58 E60:E66">
    <cfRule type="containsText" dxfId="6157" priority="8000" operator="containsText" text="[adv]">
      <formula>NOT(ISERROR(SEARCH("[adv]",E15)))</formula>
    </cfRule>
  </conditionalFormatting>
  <conditionalFormatting sqref="E92:E98 E140:E146 E292:E298 E316:E322 E332:E338 E340:E346 E348:E354 E396:E402 AB86 E100:E106 E121:E122 AB100:AB102 AB104:AB106 AB110 P108:P114 E108:E114 E116:E119 AB116:AB119 AB121:AB122 E124:E128 E130 E132:E138 AB124:AB126 AB128:AB130 AB136 AB188 AB149:AB154 E148:E154 E156:E162 AB173 AB156:AB162 E164:E170 AB180:AB181 E172:E178 E180:E186 AB190:AB194 E188:E194 E196:E199 E212:E218 E201:E202 E204:E210 E220:E226 P241:P242 P236:P239 E228:E234 E236:E242 E244:E250 E252:E258 E284:E290 E260:E266 E276:E282 E268:E274 E300:E306 E308:E314 E324:E330 E356:E362 E364:E370 E372:E378 E380:E386 E388:E394 E408 E410 E404:E405 E412:E418 AB76:AB82 E28:E34 E20:E26 P36:P42 AB36:AB42 E12:E18 E4:E10 E44:E50 E36:E42 P45:P50 P57 E52:E58 E68:E74 E60:E66 E76:E82 E84:E90">
    <cfRule type="cellIs" dxfId="6156" priority="8001" operator="equal">
      <formula>"LC*"</formula>
    </cfRule>
    <cfRule type="cellIs" dxfId="6155" priority="8002" operator="equal">
      <formula>"LC+"</formula>
    </cfRule>
    <cfRule type="cellIs" dxfId="6154" priority="8003" operator="equal">
      <formula>"LC"</formula>
    </cfRule>
  </conditionalFormatting>
  <conditionalFormatting sqref="E94 G94:H94">
    <cfRule type="containsText" dxfId="6153" priority="7571" operator="containsText" text="[adv]">
      <formula>NOT(ISERROR(SEARCH("[adv]",E94)))</formula>
    </cfRule>
  </conditionalFormatting>
  <conditionalFormatting sqref="E100 G100">
    <cfRule type="containsText" dxfId="6152" priority="7572" operator="containsText" text="[adv]">
      <formula>NOT(ISERROR(SEARCH("[adv]",E100)))</formula>
    </cfRule>
  </conditionalFormatting>
  <conditionalFormatting sqref="E106 E124:E128 E132:E136 E148:E152 G150:H150 G152 E158:E161 G160:H160 A178 C180 E182 E184:E186 E199 E217 G95 G98:H98 C178 E175:E178 E180 G81:H81 G178:H178 G199:H199 G194:H194 G189:G191 G185:H186 G184 G175:H175 G135:H136 G133:H133 G106:H106 G90:H90 G84:H85 G108:H109 E108:E109 G188:H188 E188:E194 E196:E197 G196:H197 G92:H92 G87:H88">
    <cfRule type="containsText" dxfId="6151" priority="8080" operator="containsText" text="[adv]">
      <formula>NOT(ISERROR(SEARCH("[adv]",A81)))</formula>
    </cfRule>
  </conditionalFormatting>
  <conditionalFormatting sqref="E110 G110">
    <cfRule type="containsText" dxfId="6150" priority="7504" operator="containsText" text="[adv]">
      <formula>NOT(ISERROR(SEARCH("[adv]",E110)))</formula>
    </cfRule>
  </conditionalFormatting>
  <conditionalFormatting sqref="E120 G120:H120">
    <cfRule type="timePeriod" dxfId="6149" priority="7490" timePeriod="thisMonth">
      <formula>AND(MONTH(E120)=MONTH(TODAY()),YEAR(E120)=YEAR(TODAY()))</formula>
    </cfRule>
  </conditionalFormatting>
  <conditionalFormatting sqref="E120 G120:I120">
    <cfRule type="containsText" dxfId="6148" priority="7489" operator="containsText" text="[adv]">
      <formula>NOT(ISERROR(SEARCH("[adv]",E120)))</formula>
    </cfRule>
  </conditionalFormatting>
  <conditionalFormatting sqref="E132:E137">
    <cfRule type="containsText" dxfId="6147" priority="7386" operator="containsText" text="[adv]">
      <formula>NOT(ISERROR(SEARCH("[adv]",E132)))</formula>
    </cfRule>
  </conditionalFormatting>
  <conditionalFormatting sqref="E137 G137:H137">
    <cfRule type="containsText" dxfId="6146" priority="7388" operator="containsText" text="[adv]">
      <formula>NOT(ISERROR(SEARCH("[adv]",E137)))</formula>
    </cfRule>
  </conditionalFormatting>
  <conditionalFormatting sqref="E138">
    <cfRule type="containsText" dxfId="6145" priority="7627" operator="containsText" text="[adv]">
      <formula>NOT(ISERROR(SEARCH("[adv]",E138)))</formula>
    </cfRule>
  </conditionalFormatting>
  <conditionalFormatting sqref="E149 G149">
    <cfRule type="containsText" dxfId="6144" priority="7270" operator="containsText" text="[adv]">
      <formula>NOT(ISERROR(SEARCH("[adv]",E149)))</formula>
    </cfRule>
  </conditionalFormatting>
  <conditionalFormatting sqref="E153 G153:H153">
    <cfRule type="containsText" dxfId="6143" priority="7238" operator="containsText" text="[adv]">
      <formula>NOT(ISERROR(SEARCH("[adv]",E153)))</formula>
    </cfRule>
  </conditionalFormatting>
  <conditionalFormatting sqref="E156 G156:H156">
    <cfRule type="containsText" dxfId="6142" priority="7259" operator="containsText" text="[adv]">
      <formula>NOT(ISERROR(SEARCH("[adv]",E156)))</formula>
    </cfRule>
  </conditionalFormatting>
  <conditionalFormatting sqref="E157 G157:H157">
    <cfRule type="containsText" dxfId="6141" priority="7230" operator="containsText" text="[pluk]">
      <formula>NOT(ISERROR(SEARCH("[pluk]",E157)))</formula>
    </cfRule>
    <cfRule type="containsText" dxfId="6140" priority="7232" operator="containsText" text="[adv]">
      <formula>NOT(ISERROR(SEARCH("[adv]",E157)))</formula>
    </cfRule>
  </conditionalFormatting>
  <conditionalFormatting sqref="E158 G158:H158">
    <cfRule type="containsText" dxfId="6139" priority="7251" operator="containsText" text="[adv]">
      <formula>NOT(ISERROR(SEARCH("[adv]",E158)))</formula>
    </cfRule>
    <cfRule type="containsText" dxfId="6138" priority="7295" operator="containsText" text="[adv]">
      <formula>NOT(ISERROR(SEARCH("[adv]",E158)))</formula>
    </cfRule>
  </conditionalFormatting>
  <conditionalFormatting sqref="E162">
    <cfRule type="containsText" dxfId="6137" priority="7265" operator="containsText" text="[adv]">
      <formula>NOT(ISERROR(SEARCH("[adv]",E162)))</formula>
    </cfRule>
  </conditionalFormatting>
  <conditionalFormatting sqref="E164">
    <cfRule type="containsText" dxfId="6136" priority="7150" operator="containsText" text="[adv]">
      <formula>NOT(ISERROR(SEARCH("[adv]",E164)))</formula>
    </cfRule>
  </conditionalFormatting>
  <conditionalFormatting sqref="E165 G165:H165">
    <cfRule type="containsText" dxfId="6135" priority="7170" operator="containsText" text="[adv]">
      <formula>NOT(ISERROR(SEARCH("[adv]",E165)))</formula>
    </cfRule>
    <cfRule type="containsText" dxfId="6134" priority="7171" operator="containsText" text="[pluk]">
      <formula>NOT(ISERROR(SEARCH("[pluk]",E165)))</formula>
    </cfRule>
  </conditionalFormatting>
  <conditionalFormatting sqref="E165">
    <cfRule type="containsText" dxfId="6133" priority="7173" operator="containsText" text="[adv]">
      <formula>NOT(ISERROR(SEARCH("[adv]",E165)))</formula>
    </cfRule>
  </conditionalFormatting>
  <conditionalFormatting sqref="E169 G169">
    <cfRule type="containsText" dxfId="6132" priority="7111" operator="containsText" text="[adv]">
      <formula>NOT(ISERROR(SEARCH("[adv]",E169)))</formula>
    </cfRule>
  </conditionalFormatting>
  <conditionalFormatting sqref="E174 G174:H174">
    <cfRule type="containsText" dxfId="6131" priority="7064" operator="containsText" text="[adv]">
      <formula>NOT(ISERROR(SEARCH("[adv]",E174)))</formula>
    </cfRule>
  </conditionalFormatting>
  <conditionalFormatting sqref="E180:E186">
    <cfRule type="containsText" dxfId="6130" priority="7041" operator="containsText" text="[adv]">
      <formula>NOT(ISERROR(SEARCH("[adv]",E180)))</formula>
    </cfRule>
  </conditionalFormatting>
  <conditionalFormatting sqref="E182 G182:H182">
    <cfRule type="containsText" dxfId="6129" priority="7040" operator="containsText" text="[adv]">
      <formula>NOT(ISERROR(SEARCH("[adv]",E182)))</formula>
    </cfRule>
  </conditionalFormatting>
  <conditionalFormatting sqref="E183 G183:H183">
    <cfRule type="containsText" dxfId="6128" priority="7254" operator="containsText" text="[adv]">
      <formula>NOT(ISERROR(SEARCH("[adv]",E183)))</formula>
    </cfRule>
  </conditionalFormatting>
  <conditionalFormatting sqref="E188:E193">
    <cfRule type="containsText" dxfId="6127" priority="6929" operator="containsText" text="[adv]">
      <formula>NOT(ISERROR(SEARCH("[adv]",E188)))</formula>
    </cfRule>
  </conditionalFormatting>
  <conditionalFormatting sqref="E194">
    <cfRule type="containsText" dxfId="6126" priority="7626" operator="containsText" text="[adv]">
      <formula>NOT(ISERROR(SEARCH("[adv]",E194)))</formula>
    </cfRule>
  </conditionalFormatting>
  <conditionalFormatting sqref="E196:E202">
    <cfRule type="containsText" dxfId="6125" priority="6879" operator="containsText" text="[adv]">
      <formula>NOT(ISERROR(SEARCH("[adv]",E196)))</formula>
    </cfRule>
  </conditionalFormatting>
  <conditionalFormatting sqref="E198 G198:H198">
    <cfRule type="containsText" dxfId="6124" priority="6891" operator="containsText" text="[adv]">
      <formula>NOT(ISERROR(SEARCH("[adv]",E198)))</formula>
    </cfRule>
  </conditionalFormatting>
  <conditionalFormatting sqref="E200">
    <cfRule type="containsText" dxfId="6123" priority="6864" operator="containsText" text="[adv]">
      <formula>NOT(ISERROR(SEARCH("[adv]",E200)))</formula>
    </cfRule>
    <cfRule type="cellIs" dxfId="6122" priority="6865" operator="equal">
      <formula>"_"</formula>
    </cfRule>
    <cfRule type="cellIs" dxfId="6121" priority="6867" operator="equal">
      <formula>"LC*"</formula>
    </cfRule>
    <cfRule type="cellIs" dxfId="6120" priority="6868" operator="equal">
      <formula>"LC+"</formula>
    </cfRule>
    <cfRule type="cellIs" dxfId="6119" priority="6869" operator="equal">
      <formula>"LC"</formula>
    </cfRule>
    <cfRule type="cellIs" dxfId="6118" priority="6870" operator="equal">
      <formula>"GJ+"</formula>
    </cfRule>
    <cfRule type="cellIs" dxfId="6117" priority="6871" operator="equal">
      <formula>"GJ"</formula>
    </cfRule>
    <cfRule type="cellIs" dxfId="6116" priority="6872" operator="equal">
      <formula>"GJ*"</formula>
    </cfRule>
    <cfRule type="cellIs" dxfId="6115" priority="6873" operator="equal">
      <formula>"ID+"</formula>
    </cfRule>
    <cfRule type="cellIs" dxfId="6114" priority="6874" operator="equal">
      <formula>"HK*"</formula>
    </cfRule>
    <cfRule type="cellIs" dxfId="6113" priority="6875" operator="equal">
      <formula>"HK"</formula>
    </cfRule>
    <cfRule type="cellIs" dxfId="6112" priority="6876" operator="equal">
      <formula>"HK+"</formula>
    </cfRule>
    <cfRule type="cellIs" dxfId="6111" priority="6877" operator="equal">
      <formula>"ID"</formula>
    </cfRule>
    <cfRule type="cellIs" dxfId="6110" priority="6878" operator="equal">
      <formula>"ID*"</formula>
    </cfRule>
  </conditionalFormatting>
  <conditionalFormatting sqref="E204:E210">
    <cfRule type="containsText" dxfId="6109" priority="7017" operator="containsText" text="[adv]">
      <formula>NOT(ISERROR(SEARCH("[adv]",E204)))</formula>
    </cfRule>
  </conditionalFormatting>
  <conditionalFormatting sqref="E208 G208:H208">
    <cfRule type="containsText" dxfId="6108" priority="6777" operator="containsText" text="[adv]">
      <formula>NOT(ISERROR(SEARCH("[adv]",E208)))</formula>
    </cfRule>
  </conditionalFormatting>
  <conditionalFormatting sqref="E228:E234">
    <cfRule type="containsText" dxfId="6107" priority="6962" operator="containsText" text="[adv]">
      <formula>NOT(ISERROR(SEARCH("[adv]",E228)))</formula>
    </cfRule>
  </conditionalFormatting>
  <conditionalFormatting sqref="E229 G229:H229">
    <cfRule type="containsText" dxfId="6106" priority="6965" operator="containsText" text="[adv]">
      <formula>NOT(ISERROR(SEARCH("[adv]",E229)))</formula>
    </cfRule>
  </conditionalFormatting>
  <conditionalFormatting sqref="E230">
    <cfRule type="containsText" dxfId="6105" priority="6612" operator="containsText" text="[adv]">
      <formula>NOT(ISERROR(SEARCH("[adv]",E230)))</formula>
    </cfRule>
  </conditionalFormatting>
  <conditionalFormatting sqref="E232">
    <cfRule type="containsText" dxfId="6104" priority="6652" operator="containsText" text="[adv]">
      <formula>NOT(ISERROR(SEARCH("[adv]",E232)))</formula>
    </cfRule>
  </conditionalFormatting>
  <conditionalFormatting sqref="E244:E250">
    <cfRule type="containsText" dxfId="6103" priority="6779" operator="containsText" text="[adv]">
      <formula>NOT(ISERROR(SEARCH("[adv]",E244)))</formula>
    </cfRule>
  </conditionalFormatting>
  <conditionalFormatting sqref="E251">
    <cfRule type="containsText" dxfId="6102" priority="2208" operator="containsText" text="[pluk]">
      <formula>NOT(ISERROR(SEARCH("[pluk]",E251)))</formula>
    </cfRule>
  </conditionalFormatting>
  <conditionalFormatting sqref="E252:E258">
    <cfRule type="containsText" dxfId="6101" priority="6619" operator="containsText" text="[adv]">
      <formula>NOT(ISERROR(SEARCH("[adv]",E252)))</formula>
    </cfRule>
  </conditionalFormatting>
  <conditionalFormatting sqref="E259">
    <cfRule type="containsText" dxfId="6100" priority="2176" operator="containsText" text="[pluk]">
      <formula>NOT(ISERROR(SEARCH("[pluk]",E259)))</formula>
    </cfRule>
  </conditionalFormatting>
  <conditionalFormatting sqref="E263 G263:H263">
    <cfRule type="containsText" dxfId="6099" priority="6537" operator="containsText" text="[pluk]">
      <formula>NOT(ISERROR(SEARCH("[pluk]",E263)))</formula>
    </cfRule>
  </conditionalFormatting>
  <conditionalFormatting sqref="E263">
    <cfRule type="containsText" dxfId="6098" priority="6509" operator="containsText" text="[adv]">
      <formula>NOT(ISERROR(SEARCH("[adv]",E263)))</formula>
    </cfRule>
    <cfRule type="cellIs" dxfId="6097" priority="6510" operator="equal">
      <formula>"LC*"</formula>
    </cfRule>
    <cfRule type="cellIs" dxfId="6096" priority="6511" operator="equal">
      <formula>"LC+"</formula>
    </cfRule>
    <cfRule type="cellIs" dxfId="6095" priority="6512" operator="equal">
      <formula>"LC"</formula>
    </cfRule>
    <cfRule type="cellIs" dxfId="6094" priority="6513" operator="equal">
      <formula>"ID+"</formula>
    </cfRule>
    <cfRule type="containsText" dxfId="6093" priority="6514" operator="containsText" text="[pluk]">
      <formula>NOT(ISERROR(SEARCH("[pluk]",E263)))</formula>
    </cfRule>
    <cfRule type="cellIs" dxfId="6092" priority="6515" operator="equal">
      <formula>"HK*"</formula>
    </cfRule>
    <cfRule type="cellIs" dxfId="6091" priority="6516" operator="equal">
      <formula>"HK"</formula>
    </cfRule>
    <cfRule type="cellIs" dxfId="6090" priority="6517" operator="equal">
      <formula>"HK+"</formula>
    </cfRule>
    <cfRule type="cellIs" dxfId="6089" priority="6518" operator="equal">
      <formula>"ID"</formula>
    </cfRule>
    <cfRule type="cellIs" dxfId="6088" priority="6519" operator="equal">
      <formula>"ID*"</formula>
    </cfRule>
    <cfRule type="containsText" dxfId="6087" priority="6532" operator="containsText" text="[adv]">
      <formula>NOT(ISERROR(SEARCH("[adv]",E263)))</formula>
    </cfRule>
    <cfRule type="cellIs" dxfId="6086" priority="6533" operator="equal">
      <formula>"LC*"</formula>
    </cfRule>
    <cfRule type="cellIs" dxfId="6085" priority="6534" operator="equal">
      <formula>"LC+"</formula>
    </cfRule>
    <cfRule type="cellIs" dxfId="6084" priority="6535" operator="equal">
      <formula>"LC"</formula>
    </cfRule>
    <cfRule type="cellIs" dxfId="6083" priority="6536" operator="equal">
      <formula>"ID+"</formula>
    </cfRule>
    <cfRule type="cellIs" dxfId="6082" priority="6538" operator="equal">
      <formula>"HK*"</formula>
    </cfRule>
    <cfRule type="cellIs" dxfId="6081" priority="6539" operator="equal">
      <formula>"HK"</formula>
    </cfRule>
    <cfRule type="cellIs" dxfId="6080" priority="6540" operator="equal">
      <formula>"HK+"</formula>
    </cfRule>
    <cfRule type="cellIs" dxfId="6079" priority="6541" operator="equal">
      <formula>"ID"</formula>
    </cfRule>
    <cfRule type="cellIs" dxfId="6078" priority="6542" operator="equal">
      <formula>"ID*"</formula>
    </cfRule>
    <cfRule type="cellIs" dxfId="6077" priority="6543" operator="equal">
      <formula>"_"</formula>
    </cfRule>
  </conditionalFormatting>
  <conditionalFormatting sqref="E268:E271">
    <cfRule type="containsText" dxfId="6076" priority="6365" operator="containsText" text="[adv]">
      <formula>NOT(ISERROR(SEARCH("[adv]",E268)))</formula>
    </cfRule>
  </conditionalFormatting>
  <conditionalFormatting sqref="E271 G271">
    <cfRule type="containsText" dxfId="6075" priority="6473" operator="containsText" text="[pluk]">
      <formula>NOT(ISERROR(SEARCH("[pluk]",E271)))</formula>
    </cfRule>
  </conditionalFormatting>
  <conditionalFormatting sqref="E271 G271:H271">
    <cfRule type="containsText" dxfId="6074" priority="6496" operator="containsText" text="[pluk]">
      <formula>NOT(ISERROR(SEARCH("[pluk]",E271)))</formula>
    </cfRule>
  </conditionalFormatting>
  <conditionalFormatting sqref="E271">
    <cfRule type="cellIs" dxfId="6073" priority="6469" operator="equal">
      <formula>"LC*"</formula>
    </cfRule>
    <cfRule type="cellIs" dxfId="6072" priority="6470" operator="equal">
      <formula>"LC+"</formula>
    </cfRule>
    <cfRule type="cellIs" dxfId="6071" priority="6471" operator="equal">
      <formula>"LC"</formula>
    </cfRule>
    <cfRule type="cellIs" dxfId="6070" priority="6472" operator="equal">
      <formula>"ID+"</formula>
    </cfRule>
    <cfRule type="cellIs" dxfId="6069" priority="6474" operator="equal">
      <formula>"HK*"</formula>
    </cfRule>
    <cfRule type="cellIs" dxfId="6068" priority="6475" operator="equal">
      <formula>"HK"</formula>
    </cfRule>
    <cfRule type="cellIs" dxfId="6067" priority="6476" operator="equal">
      <formula>"HK+"</formula>
    </cfRule>
    <cfRule type="cellIs" dxfId="6066" priority="6477" operator="equal">
      <formula>"ID"</formula>
    </cfRule>
    <cfRule type="cellIs" dxfId="6065" priority="6478" operator="equal">
      <formula>"ID*"</formula>
    </cfRule>
    <cfRule type="containsText" dxfId="6064" priority="6491" operator="containsText" text="[adv]">
      <formula>NOT(ISERROR(SEARCH("[adv]",E271)))</formula>
    </cfRule>
    <cfRule type="cellIs" dxfId="6063" priority="6492" operator="equal">
      <formula>"LC*"</formula>
    </cfRule>
    <cfRule type="cellIs" dxfId="6062" priority="6493" operator="equal">
      <formula>"LC+"</formula>
    </cfRule>
    <cfRule type="cellIs" dxfId="6061" priority="6494" operator="equal">
      <formula>"LC"</formula>
    </cfRule>
    <cfRule type="cellIs" dxfId="6060" priority="6495" operator="equal">
      <formula>"ID+"</formula>
    </cfRule>
    <cfRule type="cellIs" dxfId="6059" priority="6497" operator="equal">
      <formula>"HK*"</formula>
    </cfRule>
    <cfRule type="cellIs" dxfId="6058" priority="6498" operator="equal">
      <formula>"HK"</formula>
    </cfRule>
    <cfRule type="cellIs" dxfId="6057" priority="6499" operator="equal">
      <formula>"HK+"</formula>
    </cfRule>
    <cfRule type="cellIs" dxfId="6056" priority="6500" operator="equal">
      <formula>"ID"</formula>
    </cfRule>
    <cfRule type="cellIs" dxfId="6055" priority="6501" operator="equal">
      <formula>"ID*"</formula>
    </cfRule>
    <cfRule type="cellIs" dxfId="6054" priority="6502" operator="equal">
      <formula>"_"</formula>
    </cfRule>
  </conditionalFormatting>
  <conditionalFormatting sqref="E284:E290">
    <cfRule type="containsText" dxfId="6053" priority="6508" operator="containsText" text="[adv]">
      <formula>NOT(ISERROR(SEARCH("[adv]",E284)))</formula>
    </cfRule>
  </conditionalFormatting>
  <conditionalFormatting sqref="E300:E306">
    <cfRule type="containsText" dxfId="6052" priority="6316" operator="containsText" text="[adv]">
      <formula>NOT(ISERROR(SEARCH("[adv]",E300)))</formula>
    </cfRule>
  </conditionalFormatting>
  <conditionalFormatting sqref="E308:E314">
    <cfRule type="containsText" dxfId="6051" priority="6279" operator="containsText" text="[adv]">
      <formula>NOT(ISERROR(SEARCH("[adv]",E308)))</formula>
    </cfRule>
  </conditionalFormatting>
  <conditionalFormatting sqref="E324:E330">
    <cfRule type="containsText" dxfId="6050" priority="6255" operator="containsText" text="[adv]">
      <formula>NOT(ISERROR(SEARCH("[adv]",E324)))</formula>
    </cfRule>
  </conditionalFormatting>
  <conditionalFormatting sqref="E355">
    <cfRule type="containsText" dxfId="6049" priority="1801" operator="containsText" text="[pluk]">
      <formula>NOT(ISERROR(SEARCH("[pluk]",E355)))</formula>
    </cfRule>
  </conditionalFormatting>
  <conditionalFormatting sqref="E404:E410 G404:L410">
    <cfRule type="containsText" dxfId="6048" priority="6039" operator="containsText" text="[pluk]">
      <formula>NOT(ISERROR(SEARCH("[pluk]",E404)))</formula>
    </cfRule>
  </conditionalFormatting>
  <conditionalFormatting sqref="E406 G406:H406">
    <cfRule type="timePeriod" dxfId="6047" priority="6043" timePeriod="thisMonth">
      <formula>AND(MONTH(E406)=MONTH(TODAY()),YEAR(E406)=YEAR(TODAY()))</formula>
    </cfRule>
    <cfRule type="containsText" dxfId="6046" priority="6044" operator="containsText" text="[adv]">
      <formula>NOT(ISERROR(SEARCH("[adv]",E406)))</formula>
    </cfRule>
  </conditionalFormatting>
  <conditionalFormatting sqref="E406:E407 G406:H407">
    <cfRule type="cellIs" dxfId="6045" priority="6040" operator="equal">
      <formula>"_"</formula>
    </cfRule>
  </conditionalFormatting>
  <conditionalFormatting sqref="E407 G407:H407">
    <cfRule type="timePeriod" dxfId="6044" priority="6041" timePeriod="thisMonth">
      <formula>AND(MONTH(E407)=MONTH(TODAY()),YEAR(E407)=YEAR(TODAY()))</formula>
    </cfRule>
    <cfRule type="containsText" dxfId="6043" priority="6042" operator="containsText" text="[adv]">
      <formula>NOT(ISERROR(SEARCH("[adv]",E407)))</formula>
    </cfRule>
  </conditionalFormatting>
  <conditionalFormatting sqref="E408 P3:P10 AB3:AB102 AB104:AB119 AB121:AB126 E121:E128 E130:E199 E201:E405 AB128:AB419 E410:E1048576 P28:P419 E3:E119">
    <cfRule type="cellIs" dxfId="6042" priority="8005" operator="equal">
      <formula>"GJ"</formula>
    </cfRule>
  </conditionalFormatting>
  <conditionalFormatting sqref="E409 G409:H409">
    <cfRule type="timePeriod" dxfId="6041" priority="6037" timePeriod="thisMonth">
      <formula>AND(MONTH(E409)=MONTH(TODAY()),YEAR(E409)=YEAR(TODAY()))</formula>
    </cfRule>
    <cfRule type="containsText" dxfId="6040" priority="6038" operator="containsText" text="[adv]">
      <formula>NOT(ISERROR(SEARCH("[adv]",E409)))</formula>
    </cfRule>
  </conditionalFormatting>
  <conditionalFormatting sqref="E27:L27 P35:X35 P42:P44 P50:P51 P58:P59 P66:P67 P74:P75 P82:P83 P90:P91 P99 P107 P115 P123 P131 P139 P147 P155 P163 P171 P179 P187 P195 P203 P211 P219 P227 P235 P243 P251 P259 P267 P275 P283 P291 P299 P307 P315 P323 P331 P339 P347 P355 P363 P371 P379 P387 P395 P403 P411 P419 E420:G420 N420:X1048576 Z420:AJ1048576 C421:L1048576 U4:X4 AG4:AJ5 Q4:Q34 Z4:AA75 R5:X5 U6:X9 AE6:AJ10 S8:S9 C10:D10 I10:L10 S10:X10 C11:L11 R11:X11 AD11:AJ11 U12:X15 I12:L17 AE12:AJ18 F13:G13 F15:G15 AC15:AC29 G18:L18 F19:L19 AD19:AJ19 AO20:XFD24 I20:L26 AE20:AJ26 AN21:AN24 F22:G23 G25:H26 U26:X26 R27:X27 AD27:AJ27 U28:X31 AE28:AJ34 S32:X34 AD35:AJ35 Q36:Q40 S36:X40 AE36:AJ42 AC38 U41:X41 AD43:AJ43 AE44:AJ46 AE47:AE48 AG47:AJ48 AE49:AJ50 AD51:AJ51 AE52:AJ52 Q52:Q53 U52:X53 AE53 AG53:AJ53 I72:L73 L74 AA76:AA82 AM76:AM82 I79:I82 AL83:AM147 Z83:AA419 H84:L85 I86:L87 H88:L88 I89:L89 H90:L90 H92:L93 I94:L97 G96:H97 H98:L98 H100:L100 U100:X106 Q101 S101 S104:S106 I105:L105 H106:L106 H108:L108 U108:X113 I109:L110 I119:L119 I120 U120:X120 I127:L128 I132:L132 G133:L133 I134:L135 I137:L137 I149:L149 G150:L150 I151:L152 AL155:AM155 I156:L159 G160:L160 I161:L161 AL163:AM163 G166:H166 G167 I168:L168 AL171:AM171 I174:L174 H175:L175 I176:L177 H178:L178 AL179:AM179 I180:L180 I182:L184 G185:L186 AL187:AM187 G188:L188 I189:L193 G194:L194 AL195:AM195 G196:L197 I198:L198 G199:L199 I200:L201 AL203:AM203 AL211:AM211 A213 I217:L217 G218 AL219:AM219 G220 G222:G226 H225 AL227:AM227 G228:G234 H233 AL235:AM235 G236:G237 G239:G242 AL243:AM243 G244:G250 H245 A248 AL251:AM251 G252:G258 H253 H256 AL259:AM259 G260:G266 H265 AL267:AM267 G268:G269 G270:H270 AL275:AM275 AL283:AM283 A284:A290 G288:H288 AL291:AM291 G292:H293 G295:H298 AL299:AM299 G302:H302 G303:G306 AL307:AM307 G308:H309 G311:H314 AL315:AM315 A318 AL323:AM323 AL331:AM331 G333:H333 AL339:AM339 G340:H346 AL347:AM347 A353 AL355:AM355 G356:H356 G357 G358:H360 G361 G362:H362 AL363:AM363 AL371:AM371 G372 G374:H374 G376:H378 AL379:AM379 AL387:AM387 A388:A394 G392 G393:H394 AL395:AM395 AL403:AM403 AL411:AM411 U148:X150 S156 D18:D19 AL4:AM75 D26:D27 D34:D35 D42:D43 D50:D51 D58:D59 D66:D67 D74:D75 D82:D83 D90:D91 D98:D99 D106:D107 D114:D115 D122:D123 D130:D131 D138:D139 D146:D147 D154:D155 D162:D163 D170:D171 D178:D179 D187 D283 D291 D387 D395 G184 G189:G190 G128:H128">
    <cfRule type="containsText" dxfId="6039" priority="9394" operator="containsText" text="[pluk]">
      <formula>NOT(ISERROR(SEARCH("[pluk]",A4)))</formula>
    </cfRule>
  </conditionalFormatting>
  <conditionalFormatting sqref="F1:F2">
    <cfRule type="cellIs" dxfId="6038" priority="5958" operator="equal">
      <formula>"Moestuin"</formula>
    </cfRule>
    <cfRule type="cellIs" dxfId="6037" priority="5959" operator="equal">
      <formula>"Hub"</formula>
    </cfRule>
    <cfRule type="cellIs" dxfId="6036" priority="5960" operator="equal">
      <formula>"Snoeien"</formula>
    </cfRule>
    <cfRule type="cellIs" dxfId="6035" priority="5961" operator="equal">
      <formula>"Biodiversiteit"</formula>
    </cfRule>
    <cfRule type="cellIs" dxfId="6034" priority="5962" operator="equal">
      <formula>"Kamerplanten"</formula>
    </cfRule>
    <cfRule type="cellIs" dxfId="6033" priority="5963" operator="equal">
      <formula>"RERUN"</formula>
    </cfRule>
    <cfRule type="cellIs" dxfId="6032" priority="5964" operator="equal">
      <formula>"Kweken"</formula>
    </cfRule>
    <cfRule type="cellIs" dxfId="6031" priority="5965" operator="equal">
      <formula>"Partnerbijdrage"</formula>
    </cfRule>
    <cfRule type="cellIs" dxfId="6030" priority="5966" operator="equal">
      <formula>"TV-pagina"</formula>
    </cfRule>
    <cfRule type="cellIs" dxfId="6029" priority="5967" operator="equal">
      <formula>"Tuinklussen"</formula>
    </cfRule>
    <cfRule type="cellIs" dxfId="6028" priority="5968" operator="equal">
      <formula>"Inspiratie"</formula>
    </cfRule>
  </conditionalFormatting>
  <conditionalFormatting sqref="F24:F25">
    <cfRule type="containsText" dxfId="6027" priority="3452" operator="containsText" text="[adv]">
      <formula>NOT(ISERROR(SEARCH("[adv]",F24)))</formula>
    </cfRule>
    <cfRule type="containsText" dxfId="6026" priority="3453" operator="containsText" text="[pluk]">
      <formula>NOT(ISERROR(SEARCH("[pluk]",F24)))</formula>
    </cfRule>
    <cfRule type="cellIs" dxfId="6025" priority="3454" operator="equal">
      <formula>"_"</formula>
    </cfRule>
    <cfRule type="cellIs" dxfId="6024" priority="3455" operator="equal">
      <formula>"Moestuin"</formula>
    </cfRule>
    <cfRule type="cellIs" dxfId="6023" priority="3456" operator="equal">
      <formula>"Hub"</formula>
    </cfRule>
    <cfRule type="cellIs" dxfId="6022" priority="3457" operator="equal">
      <formula>"Snoeien"</formula>
    </cfRule>
    <cfRule type="cellIs" dxfId="6021" priority="3458" operator="equal">
      <formula>"Biodiversiteit"</formula>
    </cfRule>
    <cfRule type="cellIs" dxfId="6020" priority="3459" operator="equal">
      <formula>"Kamerplanten"</formula>
    </cfRule>
    <cfRule type="cellIs" dxfId="6019" priority="3460" operator="equal">
      <formula>"RERUN"</formula>
    </cfRule>
    <cfRule type="cellIs" dxfId="6018" priority="3461" operator="equal">
      <formula>"Kweken"</formula>
    </cfRule>
    <cfRule type="cellIs" dxfId="6017" priority="3462" operator="equal">
      <formula>"Partnerbijdrage"</formula>
    </cfRule>
    <cfRule type="cellIs" dxfId="6016" priority="3463" operator="equal">
      <formula>"TV-pagina"</formula>
    </cfRule>
    <cfRule type="cellIs" dxfId="6015" priority="3464" operator="equal">
      <formula>"Tuinklussen"</formula>
    </cfRule>
    <cfRule type="cellIs" dxfId="6014" priority="3465" operator="equal">
      <formula>"Inspiratie"</formula>
    </cfRule>
  </conditionalFormatting>
  <conditionalFormatting sqref="F27 F35 F30">
    <cfRule type="cellIs" dxfId="6013" priority="7935" operator="equal">
      <formula>"Moestuin"</formula>
    </cfRule>
    <cfRule type="cellIs" dxfId="6012" priority="7936" operator="equal">
      <formula>"Hub"</formula>
    </cfRule>
    <cfRule type="cellIs" dxfId="6011" priority="7937" operator="equal">
      <formula>"Snoeien"</formula>
    </cfRule>
    <cfRule type="cellIs" dxfId="6010" priority="7938" operator="equal">
      <formula>"Biodiversiteit"</formula>
    </cfRule>
    <cfRule type="cellIs" dxfId="6009" priority="7939" operator="equal">
      <formula>"Kamerplanten"</formula>
    </cfRule>
    <cfRule type="cellIs" dxfId="6008" priority="7940" operator="equal">
      <formula>"RERUN"</formula>
    </cfRule>
    <cfRule type="cellIs" dxfId="6007" priority="7941" operator="equal">
      <formula>"Kweken"</formula>
    </cfRule>
    <cfRule type="cellIs" dxfId="6006" priority="7942" operator="equal">
      <formula>"Partnerbijdrage"</formula>
    </cfRule>
    <cfRule type="cellIs" dxfId="6005" priority="7943" operator="equal">
      <formula>"TV-pagina"</formula>
    </cfRule>
    <cfRule type="cellIs" dxfId="6004" priority="7944" operator="equal">
      <formula>"Tuinklussen"</formula>
    </cfRule>
    <cfRule type="cellIs" dxfId="6003" priority="7945" operator="equal">
      <formula>"Inspiratie"</formula>
    </cfRule>
  </conditionalFormatting>
  <conditionalFormatting sqref="F28">
    <cfRule type="containsText" dxfId="6002" priority="4492" operator="containsText" text="[adv]">
      <formula>NOT(ISERROR(SEARCH("[adv]",F28)))</formula>
    </cfRule>
    <cfRule type="containsText" dxfId="6001" priority="4493" operator="containsText" text="[pluk]">
      <formula>NOT(ISERROR(SEARCH("[pluk]",F28)))</formula>
    </cfRule>
    <cfRule type="cellIs" dxfId="6000" priority="4494" operator="equal">
      <formula>"_"</formula>
    </cfRule>
    <cfRule type="cellIs" dxfId="5999" priority="4495" operator="equal">
      <formula>"Moestuin"</formula>
    </cfRule>
    <cfRule type="cellIs" dxfId="5998" priority="4496" operator="equal">
      <formula>"Hub"</formula>
    </cfRule>
    <cfRule type="cellIs" dxfId="5997" priority="4497" operator="equal">
      <formula>"Snoeien"</formula>
    </cfRule>
    <cfRule type="cellIs" dxfId="5996" priority="4498" operator="equal">
      <formula>"Biodiversiteit"</formula>
    </cfRule>
    <cfRule type="cellIs" dxfId="5995" priority="4499" operator="equal">
      <formula>"Kamerplanten"</formula>
    </cfRule>
    <cfRule type="cellIs" dxfId="5994" priority="4500" operator="equal">
      <formula>"RERUN"</formula>
    </cfRule>
    <cfRule type="cellIs" dxfId="5993" priority="4501" operator="equal">
      <formula>"Kweken"</formula>
    </cfRule>
    <cfRule type="cellIs" dxfId="5992" priority="4502" operator="equal">
      <formula>"Partnerbijdrage"</formula>
    </cfRule>
    <cfRule type="cellIs" dxfId="5991" priority="4503" operator="equal">
      <formula>"TV-pagina"</formula>
    </cfRule>
    <cfRule type="cellIs" dxfId="5990" priority="4504" operator="equal">
      <formula>"Tuinklussen"</formula>
    </cfRule>
    <cfRule type="cellIs" dxfId="5989" priority="4505" operator="equal">
      <formula>"Inspiratie"</formula>
    </cfRule>
  </conditionalFormatting>
  <conditionalFormatting sqref="F31">
    <cfRule type="cellIs" dxfId="5988" priority="5124" operator="equal">
      <formula>"Moestuin"</formula>
    </cfRule>
    <cfRule type="cellIs" dxfId="5987" priority="5125" operator="equal">
      <formula>"Hub"</formula>
    </cfRule>
    <cfRule type="cellIs" dxfId="5986" priority="5126" operator="equal">
      <formula>"Snoeien"</formula>
    </cfRule>
    <cfRule type="cellIs" dxfId="5985" priority="5127" operator="equal">
      <formula>"Biodiversiteit"</formula>
    </cfRule>
    <cfRule type="cellIs" dxfId="5984" priority="5128" operator="equal">
      <formula>"Kamerplanten"</formula>
    </cfRule>
    <cfRule type="cellIs" dxfId="5983" priority="5129" operator="equal">
      <formula>"RERUN"</formula>
    </cfRule>
    <cfRule type="cellIs" dxfId="5982" priority="5130" operator="equal">
      <formula>"Kweken"</formula>
    </cfRule>
    <cfRule type="cellIs" dxfId="5981" priority="5131" operator="equal">
      <formula>"Partnerbijdrage"</formula>
    </cfRule>
    <cfRule type="cellIs" dxfId="5980" priority="5132" operator="equal">
      <formula>"TV-pagina"</formula>
    </cfRule>
    <cfRule type="cellIs" dxfId="5979" priority="5133" operator="equal">
      <formula>"Tuinklussen"</formula>
    </cfRule>
    <cfRule type="cellIs" dxfId="5978" priority="5134" operator="equal">
      <formula>"Inspiratie"</formula>
    </cfRule>
    <cfRule type="containsText" dxfId="5977" priority="5136" operator="containsText" text="[pluk]">
      <formula>NOT(ISERROR(SEARCH("[pluk]",F31)))</formula>
    </cfRule>
    <cfRule type="cellIs" dxfId="5976" priority="5137" operator="equal">
      <formula>"_"</formula>
    </cfRule>
  </conditionalFormatting>
  <conditionalFormatting sqref="F37">
    <cfRule type="containsText" dxfId="5975" priority="1526" operator="containsText" text="[adv]">
      <formula>NOT(ISERROR(SEARCH("[adv]",F37)))</formula>
    </cfRule>
    <cfRule type="containsText" dxfId="5974" priority="1527" operator="containsText" text="[pluk]">
      <formula>NOT(ISERROR(SEARCH("[pluk]",F37)))</formula>
    </cfRule>
    <cfRule type="cellIs" dxfId="5973" priority="1528" operator="equal">
      <formula>"_"</formula>
    </cfRule>
    <cfRule type="cellIs" dxfId="5972" priority="1529" operator="equal">
      <formula>"Moestuin"</formula>
    </cfRule>
    <cfRule type="cellIs" dxfId="5971" priority="1530" operator="equal">
      <formula>"Hub"</formula>
    </cfRule>
    <cfRule type="cellIs" dxfId="5970" priority="1531" operator="equal">
      <formula>"Snoeien"</formula>
    </cfRule>
    <cfRule type="cellIs" dxfId="5969" priority="1532" operator="equal">
      <formula>"Biodiversiteit"</formula>
    </cfRule>
    <cfRule type="cellIs" dxfId="5968" priority="1533" operator="equal">
      <formula>"Kamerplanten"</formula>
    </cfRule>
    <cfRule type="cellIs" dxfId="5967" priority="1534" operator="equal">
      <formula>"RERUN"</formula>
    </cfRule>
    <cfRule type="cellIs" dxfId="5966" priority="1535" operator="equal">
      <formula>"Kweken"</formula>
    </cfRule>
    <cfRule type="cellIs" dxfId="5965" priority="1536" operator="equal">
      <formula>"Partnerbijdrage"</formula>
    </cfRule>
    <cfRule type="cellIs" dxfId="5964" priority="1537" operator="equal">
      <formula>"TV-pagina"</formula>
    </cfRule>
    <cfRule type="cellIs" dxfId="5963" priority="1538" operator="equal">
      <formula>"Tuinklussen"</formula>
    </cfRule>
    <cfRule type="cellIs" dxfId="5962" priority="1539" operator="equal">
      <formula>"Inspiratie"</formula>
    </cfRule>
  </conditionalFormatting>
  <conditionalFormatting sqref="F39">
    <cfRule type="containsText" dxfId="5961" priority="5122" operator="containsText" text="[pluk]">
      <formula>NOT(ISERROR(SEARCH("[pluk]",F39)))</formula>
    </cfRule>
    <cfRule type="cellIs" dxfId="5960" priority="5123" operator="equal">
      <formula>"_"</formula>
    </cfRule>
  </conditionalFormatting>
  <conditionalFormatting sqref="F40:F41">
    <cfRule type="containsText" dxfId="5959" priority="1510" operator="containsText" text="[adv]">
      <formula>NOT(ISERROR(SEARCH("[adv]",F40)))</formula>
    </cfRule>
    <cfRule type="containsText" dxfId="5958" priority="1511" operator="containsText" text="[pluk]">
      <formula>NOT(ISERROR(SEARCH("[pluk]",F40)))</formula>
    </cfRule>
    <cfRule type="cellIs" dxfId="5957" priority="1512" operator="equal">
      <formula>"_"</formula>
    </cfRule>
    <cfRule type="cellIs" dxfId="5956" priority="1513" operator="equal">
      <formula>"Moestuin"</formula>
    </cfRule>
    <cfRule type="cellIs" dxfId="5955" priority="1514" operator="equal">
      <formula>"Hub"</formula>
    </cfRule>
    <cfRule type="cellIs" dxfId="5954" priority="1515" operator="equal">
      <formula>"Snoeien"</formula>
    </cfRule>
    <cfRule type="cellIs" dxfId="5953" priority="1516" operator="equal">
      <formula>"Biodiversiteit"</formula>
    </cfRule>
    <cfRule type="cellIs" dxfId="5952" priority="1517" operator="equal">
      <formula>"Kamerplanten"</formula>
    </cfRule>
    <cfRule type="cellIs" dxfId="5951" priority="1518" operator="equal">
      <formula>"RERUN"</formula>
    </cfRule>
    <cfRule type="cellIs" dxfId="5950" priority="1519" operator="equal">
      <formula>"Kweken"</formula>
    </cfRule>
    <cfRule type="cellIs" dxfId="5949" priority="1520" operator="equal">
      <formula>"Partnerbijdrage"</formula>
    </cfRule>
    <cfRule type="cellIs" dxfId="5948" priority="1521" operator="equal">
      <formula>"TV-pagina"</formula>
    </cfRule>
    <cfRule type="cellIs" dxfId="5947" priority="1522" operator="equal">
      <formula>"Tuinklussen"</formula>
    </cfRule>
    <cfRule type="cellIs" dxfId="5946" priority="1523" operator="equal">
      <formula>"Inspiratie"</formula>
    </cfRule>
  </conditionalFormatting>
  <conditionalFormatting sqref="F45">
    <cfRule type="containsText" dxfId="5945" priority="4506" operator="containsText" text="[adv]">
      <formula>NOT(ISERROR(SEARCH("[adv]",F45)))</formula>
    </cfRule>
    <cfRule type="containsText" dxfId="5944" priority="4507" operator="containsText" text="[pluk]">
      <formula>NOT(ISERROR(SEARCH("[pluk]",F45)))</formula>
    </cfRule>
    <cfRule type="cellIs" dxfId="5943" priority="4508" operator="equal">
      <formula>"_"</formula>
    </cfRule>
    <cfRule type="cellIs" dxfId="5942" priority="4509" operator="equal">
      <formula>"Moestuin"</formula>
    </cfRule>
    <cfRule type="cellIs" dxfId="5941" priority="4510" operator="equal">
      <formula>"Hub"</formula>
    </cfRule>
    <cfRule type="cellIs" dxfId="5940" priority="4511" operator="equal">
      <formula>"Snoeien"</formula>
    </cfRule>
    <cfRule type="cellIs" dxfId="5939" priority="4512" operator="equal">
      <formula>"Biodiversiteit"</formula>
    </cfRule>
    <cfRule type="cellIs" dxfId="5938" priority="4513" operator="equal">
      <formula>"Kamerplanten"</formula>
    </cfRule>
    <cfRule type="cellIs" dxfId="5937" priority="4514" operator="equal">
      <formula>"RERUN"</formula>
    </cfRule>
    <cfRule type="cellIs" dxfId="5936" priority="4515" operator="equal">
      <formula>"Kweken"</formula>
    </cfRule>
    <cfRule type="cellIs" dxfId="5935" priority="4516" operator="equal">
      <formula>"Partnerbijdrage"</formula>
    </cfRule>
    <cfRule type="cellIs" dxfId="5934" priority="4517" operator="equal">
      <formula>"TV-pagina"</formula>
    </cfRule>
    <cfRule type="cellIs" dxfId="5933" priority="4518" operator="equal">
      <formula>"Tuinklussen"</formula>
    </cfRule>
    <cfRule type="cellIs" dxfId="5932" priority="4519" operator="equal">
      <formula>"Inspiratie"</formula>
    </cfRule>
  </conditionalFormatting>
  <conditionalFormatting sqref="F47">
    <cfRule type="containsText" dxfId="5931" priority="5119" operator="containsText" text="[pluk]">
      <formula>NOT(ISERROR(SEARCH("[pluk]",F47)))</formula>
    </cfRule>
    <cfRule type="cellIs" dxfId="5930" priority="5120" operator="equal">
      <formula>"_"</formula>
    </cfRule>
  </conditionalFormatting>
  <conditionalFormatting sqref="F49">
    <cfRule type="containsText" dxfId="5929" priority="4520" operator="containsText" text="[adv]">
      <formula>NOT(ISERROR(SEARCH("[adv]",F49)))</formula>
    </cfRule>
    <cfRule type="containsText" dxfId="5928" priority="4521" operator="containsText" text="[pluk]">
      <formula>NOT(ISERROR(SEARCH("[pluk]",F49)))</formula>
    </cfRule>
    <cfRule type="cellIs" dxfId="5927" priority="4522" operator="equal">
      <formula>"_"</formula>
    </cfRule>
    <cfRule type="cellIs" dxfId="5926" priority="4523" operator="equal">
      <formula>"Moestuin"</formula>
    </cfRule>
    <cfRule type="cellIs" dxfId="5925" priority="4524" operator="equal">
      <formula>"Hub"</formula>
    </cfRule>
    <cfRule type="cellIs" dxfId="5924" priority="4525" operator="equal">
      <formula>"Snoeien"</formula>
    </cfRule>
    <cfRule type="cellIs" dxfId="5923" priority="4526" operator="equal">
      <formula>"Biodiversiteit"</formula>
    </cfRule>
    <cfRule type="cellIs" dxfId="5922" priority="4527" operator="equal">
      <formula>"Kamerplanten"</formula>
    </cfRule>
    <cfRule type="cellIs" dxfId="5921" priority="4528" operator="equal">
      <formula>"RERUN"</formula>
    </cfRule>
    <cfRule type="cellIs" dxfId="5920" priority="4529" operator="equal">
      <formula>"Kweken"</formula>
    </cfRule>
    <cfRule type="cellIs" dxfId="5919" priority="4530" operator="equal">
      <formula>"Partnerbijdrage"</formula>
    </cfRule>
    <cfRule type="cellIs" dxfId="5918" priority="4531" operator="equal">
      <formula>"TV-pagina"</formula>
    </cfRule>
    <cfRule type="cellIs" dxfId="5917" priority="4532" operator="equal">
      <formula>"Tuinklussen"</formula>
    </cfRule>
    <cfRule type="cellIs" dxfId="5916" priority="4533" operator="equal">
      <formula>"Inspiratie"</formula>
    </cfRule>
  </conditionalFormatting>
  <conditionalFormatting sqref="F50">
    <cfRule type="containsText" dxfId="5915" priority="1386" operator="containsText" text="[adv]">
      <formula>NOT(ISERROR(SEARCH("[adv]",F50)))</formula>
    </cfRule>
    <cfRule type="containsText" dxfId="5914" priority="1387" operator="containsText" text="[pluk]">
      <formula>NOT(ISERROR(SEARCH("[pluk]",F50)))</formula>
    </cfRule>
    <cfRule type="cellIs" dxfId="5913" priority="1388" operator="equal">
      <formula>"_"</formula>
    </cfRule>
    <cfRule type="cellIs" dxfId="5912" priority="1389" operator="equal">
      <formula>"Moestuin"</formula>
    </cfRule>
    <cfRule type="cellIs" dxfId="5911" priority="1390" operator="equal">
      <formula>"Hub"</formula>
    </cfRule>
    <cfRule type="cellIs" dxfId="5910" priority="1391" operator="equal">
      <formula>"Snoeien"</formula>
    </cfRule>
    <cfRule type="cellIs" dxfId="5909" priority="1392" operator="equal">
      <formula>"Biodiversiteit"</formula>
    </cfRule>
    <cfRule type="cellIs" dxfId="5908" priority="1393" operator="equal">
      <formula>"Kamerplanten"</formula>
    </cfRule>
    <cfRule type="cellIs" dxfId="5907" priority="1394" operator="equal">
      <formula>"RERUN"</formula>
    </cfRule>
    <cfRule type="cellIs" dxfId="5906" priority="1395" operator="equal">
      <formula>"Kweken"</formula>
    </cfRule>
    <cfRule type="cellIs" dxfId="5905" priority="1396" operator="equal">
      <formula>"Partnerbijdrage"</formula>
    </cfRule>
    <cfRule type="cellIs" dxfId="5904" priority="1397" operator="equal">
      <formula>"TV-pagina"</formula>
    </cfRule>
    <cfRule type="cellIs" dxfId="5903" priority="1398" operator="equal">
      <formula>"Tuinklussen"</formula>
    </cfRule>
    <cfRule type="cellIs" dxfId="5902" priority="1399" operator="equal">
      <formula>"Inspiratie"</formula>
    </cfRule>
  </conditionalFormatting>
  <conditionalFormatting sqref="F53:F54">
    <cfRule type="containsText" dxfId="5901" priority="4534" operator="containsText" text="[adv]">
      <formula>NOT(ISERROR(SEARCH("[adv]",F53)))</formula>
    </cfRule>
    <cfRule type="containsText" dxfId="5900" priority="4535" operator="containsText" text="[pluk]">
      <formula>NOT(ISERROR(SEARCH("[pluk]",F53)))</formula>
    </cfRule>
    <cfRule type="cellIs" dxfId="5899" priority="4536" operator="equal">
      <formula>"_"</formula>
    </cfRule>
    <cfRule type="cellIs" dxfId="5898" priority="4537" operator="equal">
      <formula>"Moestuin"</formula>
    </cfRule>
    <cfRule type="cellIs" dxfId="5897" priority="4538" operator="equal">
      <formula>"Hub"</formula>
    </cfRule>
    <cfRule type="cellIs" dxfId="5896" priority="4539" operator="equal">
      <formula>"Snoeien"</formula>
    </cfRule>
    <cfRule type="cellIs" dxfId="5895" priority="4540" operator="equal">
      <formula>"Biodiversiteit"</formula>
    </cfRule>
    <cfRule type="cellIs" dxfId="5894" priority="4541" operator="equal">
      <formula>"Kamerplanten"</formula>
    </cfRule>
    <cfRule type="cellIs" dxfId="5893" priority="4542" operator="equal">
      <formula>"RERUN"</formula>
    </cfRule>
    <cfRule type="cellIs" dxfId="5892" priority="4543" operator="equal">
      <formula>"Kweken"</formula>
    </cfRule>
    <cfRule type="cellIs" dxfId="5891" priority="4544" operator="equal">
      <formula>"Partnerbijdrage"</formula>
    </cfRule>
    <cfRule type="cellIs" dxfId="5890" priority="4545" operator="equal">
      <formula>"TV-pagina"</formula>
    </cfRule>
    <cfRule type="cellIs" dxfId="5889" priority="4546" operator="equal">
      <formula>"Tuinklussen"</formula>
    </cfRule>
    <cfRule type="cellIs" dxfId="5888" priority="4547" operator="equal">
      <formula>"Inspiratie"</formula>
    </cfRule>
  </conditionalFormatting>
  <conditionalFormatting sqref="F55">
    <cfRule type="containsText" dxfId="5887" priority="5116" operator="containsText" text="[pluk]">
      <formula>NOT(ISERROR(SEARCH("[pluk]",F55)))</formula>
    </cfRule>
    <cfRule type="cellIs" dxfId="5886" priority="5117" operator="equal">
      <formula>"_"</formula>
    </cfRule>
  </conditionalFormatting>
  <conditionalFormatting sqref="F57:F58">
    <cfRule type="containsText" dxfId="5885" priority="1268" operator="containsText" text="[adv]">
      <formula>NOT(ISERROR(SEARCH("[adv]",F57)))</formula>
    </cfRule>
    <cfRule type="containsText" dxfId="5884" priority="1269" operator="containsText" text="[pluk]">
      <formula>NOT(ISERROR(SEARCH("[pluk]",F57)))</formula>
    </cfRule>
    <cfRule type="cellIs" dxfId="5883" priority="1270" operator="equal">
      <formula>"_"</formula>
    </cfRule>
    <cfRule type="cellIs" dxfId="5882" priority="1271" operator="equal">
      <formula>"Moestuin"</formula>
    </cfRule>
    <cfRule type="cellIs" dxfId="5881" priority="1272" operator="equal">
      <formula>"Hub"</formula>
    </cfRule>
    <cfRule type="cellIs" dxfId="5880" priority="1273" operator="equal">
      <formula>"Snoeien"</formula>
    </cfRule>
    <cfRule type="cellIs" dxfId="5879" priority="1274" operator="equal">
      <formula>"Biodiversiteit"</formula>
    </cfRule>
    <cfRule type="cellIs" dxfId="5878" priority="1275" operator="equal">
      <formula>"Kamerplanten"</formula>
    </cfRule>
    <cfRule type="cellIs" dxfId="5877" priority="1276" operator="equal">
      <formula>"RERUN"</formula>
    </cfRule>
    <cfRule type="cellIs" dxfId="5876" priority="1277" operator="equal">
      <formula>"Kweken"</formula>
    </cfRule>
    <cfRule type="cellIs" dxfId="5875" priority="1278" operator="equal">
      <formula>"Partnerbijdrage"</formula>
    </cfRule>
    <cfRule type="cellIs" dxfId="5874" priority="1279" operator="equal">
      <formula>"TV-pagina"</formula>
    </cfRule>
    <cfRule type="cellIs" dxfId="5873" priority="1280" operator="equal">
      <formula>"Tuinklussen"</formula>
    </cfRule>
    <cfRule type="cellIs" dxfId="5872" priority="1281" operator="equal">
      <formula>"Inspiratie"</formula>
    </cfRule>
  </conditionalFormatting>
  <conditionalFormatting sqref="F60">
    <cfRule type="containsText" dxfId="5871" priority="1253" operator="containsText" text="[adv]">
      <formula>NOT(ISERROR(SEARCH("[adv]",F60)))</formula>
    </cfRule>
    <cfRule type="containsText" dxfId="5870" priority="1254" operator="containsText" text="[pluk]">
      <formula>NOT(ISERROR(SEARCH("[pluk]",F60)))</formula>
    </cfRule>
    <cfRule type="cellIs" dxfId="5869" priority="1255" operator="equal">
      <formula>"_"</formula>
    </cfRule>
    <cfRule type="cellIs" dxfId="5868" priority="1256" operator="equal">
      <formula>"Moestuin"</formula>
    </cfRule>
    <cfRule type="cellIs" dxfId="5867" priority="1257" operator="equal">
      <formula>"Hub"</formula>
    </cfRule>
    <cfRule type="cellIs" dxfId="5866" priority="1258" operator="equal">
      <formula>"Snoeien"</formula>
    </cfRule>
    <cfRule type="cellIs" dxfId="5865" priority="1259" operator="equal">
      <formula>"Biodiversiteit"</formula>
    </cfRule>
    <cfRule type="cellIs" dxfId="5864" priority="1260" operator="equal">
      <formula>"Kamerplanten"</formula>
    </cfRule>
    <cfRule type="cellIs" dxfId="5863" priority="1261" operator="equal">
      <formula>"RERUN"</formula>
    </cfRule>
    <cfRule type="cellIs" dxfId="5862" priority="1262" operator="equal">
      <formula>"Kweken"</formula>
    </cfRule>
    <cfRule type="cellIs" dxfId="5861" priority="1263" operator="equal">
      <formula>"Partnerbijdrage"</formula>
    </cfRule>
    <cfRule type="cellIs" dxfId="5860" priority="1264" operator="equal">
      <formula>"TV-pagina"</formula>
    </cfRule>
    <cfRule type="cellIs" dxfId="5859" priority="1265" operator="equal">
      <formula>"Tuinklussen"</formula>
    </cfRule>
    <cfRule type="cellIs" dxfId="5858" priority="1266" operator="equal">
      <formula>"Inspiratie"</formula>
    </cfRule>
  </conditionalFormatting>
  <conditionalFormatting sqref="F61">
    <cfRule type="containsText" dxfId="5857" priority="1337" operator="containsText" text="[adv]">
      <formula>NOT(ISERROR(SEARCH("[adv]",F61)))</formula>
    </cfRule>
    <cfRule type="containsText" dxfId="5856" priority="1338" operator="containsText" text="[pluk]">
      <formula>NOT(ISERROR(SEARCH("[pluk]",F61)))</formula>
    </cfRule>
    <cfRule type="cellIs" dxfId="5855" priority="1339" operator="equal">
      <formula>"_"</formula>
    </cfRule>
    <cfRule type="cellIs" dxfId="5854" priority="1340" operator="equal">
      <formula>"Moestuin"</formula>
    </cfRule>
    <cfRule type="cellIs" dxfId="5853" priority="1341" operator="equal">
      <formula>"Hub"</formula>
    </cfRule>
    <cfRule type="cellIs" dxfId="5852" priority="1342" operator="equal">
      <formula>"Snoeien"</formula>
    </cfRule>
    <cfRule type="cellIs" dxfId="5851" priority="1343" operator="equal">
      <formula>"Biodiversiteit"</formula>
    </cfRule>
    <cfRule type="cellIs" dxfId="5850" priority="1344" operator="equal">
      <formula>"Kamerplanten"</formula>
    </cfRule>
    <cfRule type="cellIs" dxfId="5849" priority="1345" operator="equal">
      <formula>"RERUN"</formula>
    </cfRule>
    <cfRule type="cellIs" dxfId="5848" priority="1346" operator="equal">
      <formula>"Kweken"</formula>
    </cfRule>
    <cfRule type="cellIs" dxfId="5847" priority="1347" operator="equal">
      <formula>"Partnerbijdrage"</formula>
    </cfRule>
    <cfRule type="cellIs" dxfId="5846" priority="1348" operator="equal">
      <formula>"TV-pagina"</formula>
    </cfRule>
    <cfRule type="cellIs" dxfId="5845" priority="1349" operator="equal">
      <formula>"Tuinklussen"</formula>
    </cfRule>
    <cfRule type="cellIs" dxfId="5844" priority="1350" operator="equal">
      <formula>"Inspiratie"</formula>
    </cfRule>
  </conditionalFormatting>
  <conditionalFormatting sqref="F62">
    <cfRule type="containsText" dxfId="5843" priority="4562" operator="containsText" text="[adv]">
      <formula>NOT(ISERROR(SEARCH("[adv]",F62)))</formula>
    </cfRule>
    <cfRule type="containsText" dxfId="5842" priority="4563" operator="containsText" text="[pluk]">
      <formula>NOT(ISERROR(SEARCH("[pluk]",F62)))</formula>
    </cfRule>
    <cfRule type="cellIs" dxfId="5841" priority="4564" operator="equal">
      <formula>"_"</formula>
    </cfRule>
    <cfRule type="cellIs" dxfId="5840" priority="4565" operator="equal">
      <formula>"Moestuin"</formula>
    </cfRule>
    <cfRule type="cellIs" dxfId="5839" priority="4566" operator="equal">
      <formula>"Hub"</formula>
    </cfRule>
    <cfRule type="cellIs" dxfId="5838" priority="4567" operator="equal">
      <formula>"Snoeien"</formula>
    </cfRule>
    <cfRule type="cellIs" dxfId="5837" priority="4568" operator="equal">
      <formula>"Biodiversiteit"</formula>
    </cfRule>
    <cfRule type="cellIs" dxfId="5836" priority="4569" operator="equal">
      <formula>"Kamerplanten"</formula>
    </cfRule>
    <cfRule type="cellIs" dxfId="5835" priority="4570" operator="equal">
      <formula>"RERUN"</formula>
    </cfRule>
    <cfRule type="cellIs" dxfId="5834" priority="4571" operator="equal">
      <formula>"Kweken"</formula>
    </cfRule>
    <cfRule type="cellIs" dxfId="5833" priority="4572" operator="equal">
      <formula>"Partnerbijdrage"</formula>
    </cfRule>
    <cfRule type="cellIs" dxfId="5832" priority="4573" operator="equal">
      <formula>"TV-pagina"</formula>
    </cfRule>
    <cfRule type="cellIs" dxfId="5831" priority="4574" operator="equal">
      <formula>"Tuinklussen"</formula>
    </cfRule>
    <cfRule type="cellIs" dxfId="5830" priority="4575" operator="equal">
      <formula>"Inspiratie"</formula>
    </cfRule>
  </conditionalFormatting>
  <conditionalFormatting sqref="F63">
    <cfRule type="containsText" dxfId="5829" priority="5113" operator="containsText" text="[pluk]">
      <formula>NOT(ISERROR(SEARCH("[pluk]",F63)))</formula>
    </cfRule>
    <cfRule type="cellIs" dxfId="5828" priority="5114" operator="equal">
      <formula>"_"</formula>
    </cfRule>
  </conditionalFormatting>
  <conditionalFormatting sqref="F64:F66">
    <cfRule type="containsText" dxfId="5827" priority="4548" operator="containsText" text="[adv]">
      <formula>NOT(ISERROR(SEARCH("[adv]",F64)))</formula>
    </cfRule>
    <cfRule type="containsText" dxfId="5826" priority="4549" operator="containsText" text="[pluk]">
      <formula>NOT(ISERROR(SEARCH("[pluk]",F64)))</formula>
    </cfRule>
    <cfRule type="cellIs" dxfId="5825" priority="4550" operator="equal">
      <formula>"_"</formula>
    </cfRule>
    <cfRule type="cellIs" dxfId="5824" priority="4551" operator="equal">
      <formula>"Moestuin"</formula>
    </cfRule>
    <cfRule type="cellIs" dxfId="5823" priority="4552" operator="equal">
      <formula>"Hub"</formula>
    </cfRule>
    <cfRule type="cellIs" dxfId="5822" priority="4553" operator="equal">
      <formula>"Snoeien"</formula>
    </cfRule>
    <cfRule type="cellIs" dxfId="5821" priority="4554" operator="equal">
      <formula>"Biodiversiteit"</formula>
    </cfRule>
    <cfRule type="cellIs" dxfId="5820" priority="4555" operator="equal">
      <formula>"Kamerplanten"</formula>
    </cfRule>
    <cfRule type="cellIs" dxfId="5819" priority="4556" operator="equal">
      <formula>"RERUN"</formula>
    </cfRule>
    <cfRule type="cellIs" dxfId="5818" priority="4557" operator="equal">
      <formula>"Kweken"</formula>
    </cfRule>
    <cfRule type="cellIs" dxfId="5817" priority="4558" operator="equal">
      <formula>"Partnerbijdrage"</formula>
    </cfRule>
    <cfRule type="cellIs" dxfId="5816" priority="4559" operator="equal">
      <formula>"TV-pagina"</formula>
    </cfRule>
    <cfRule type="cellIs" dxfId="5815" priority="4560" operator="equal">
      <formula>"Tuinklussen"</formula>
    </cfRule>
    <cfRule type="cellIs" dxfId="5814" priority="4561" operator="equal">
      <formula>"Inspiratie"</formula>
    </cfRule>
  </conditionalFormatting>
  <conditionalFormatting sqref="F68">
    <cfRule type="containsText" dxfId="5813" priority="417" operator="containsText" text="[adv]">
      <formula>NOT(ISERROR(SEARCH("[adv]",F68)))</formula>
    </cfRule>
    <cfRule type="containsText" dxfId="5812" priority="418" operator="containsText" text="[pluk]">
      <formula>NOT(ISERROR(SEARCH("[pluk]",F68)))</formula>
    </cfRule>
    <cfRule type="cellIs" dxfId="5811" priority="419" operator="equal">
      <formula>"_"</formula>
    </cfRule>
    <cfRule type="cellIs" dxfId="5810" priority="420" operator="equal">
      <formula>"Moestuin"</formula>
    </cfRule>
    <cfRule type="cellIs" dxfId="5809" priority="421" operator="equal">
      <formula>"Hub"</formula>
    </cfRule>
    <cfRule type="cellIs" dxfId="5808" priority="422" operator="equal">
      <formula>"Snoeien"</formula>
    </cfRule>
    <cfRule type="cellIs" dxfId="5807" priority="423" operator="equal">
      <formula>"Biodiversiteit"</formula>
    </cfRule>
    <cfRule type="cellIs" dxfId="5806" priority="424" operator="equal">
      <formula>"Kamerplanten"</formula>
    </cfRule>
    <cfRule type="cellIs" dxfId="5805" priority="425" operator="equal">
      <formula>"RERUN"</formula>
    </cfRule>
    <cfRule type="cellIs" dxfId="5804" priority="426" operator="equal">
      <formula>"Kweken"</formula>
    </cfRule>
    <cfRule type="cellIs" dxfId="5803" priority="427" operator="equal">
      <formula>"Partnerbijdrage"</formula>
    </cfRule>
    <cfRule type="cellIs" dxfId="5802" priority="428" operator="equal">
      <formula>"TV-pagina"</formula>
    </cfRule>
    <cfRule type="cellIs" dxfId="5801" priority="429" operator="equal">
      <formula>"Tuinklussen"</formula>
    </cfRule>
    <cfRule type="cellIs" dxfId="5800" priority="430" operator="equal">
      <formula>"Inspiratie"</formula>
    </cfRule>
  </conditionalFormatting>
  <conditionalFormatting sqref="F69">
    <cfRule type="containsText" dxfId="5799" priority="366" operator="containsText" text="[adv]">
      <formula>NOT(ISERROR(SEARCH("[adv]",F69)))</formula>
    </cfRule>
    <cfRule type="containsText" dxfId="5798" priority="367" operator="containsText" text="[pluk]">
      <formula>NOT(ISERROR(SEARCH("[pluk]",F69)))</formula>
    </cfRule>
    <cfRule type="cellIs" dxfId="5797" priority="368" operator="equal">
      <formula>"_"</formula>
    </cfRule>
    <cfRule type="cellIs" dxfId="5796" priority="369" operator="equal">
      <formula>"Moestuin"</formula>
    </cfRule>
    <cfRule type="cellIs" dxfId="5795" priority="370" operator="equal">
      <formula>"Hub"</formula>
    </cfRule>
    <cfRule type="cellIs" dxfId="5794" priority="371" operator="equal">
      <formula>"Snoeien"</formula>
    </cfRule>
    <cfRule type="cellIs" dxfId="5793" priority="372" operator="equal">
      <formula>"Biodiversiteit"</formula>
    </cfRule>
    <cfRule type="cellIs" dxfId="5792" priority="373" operator="equal">
      <formula>"Kamerplanten"</formula>
    </cfRule>
    <cfRule type="cellIs" dxfId="5791" priority="374" operator="equal">
      <formula>"RERUN"</formula>
    </cfRule>
    <cfRule type="cellIs" dxfId="5790" priority="375" operator="equal">
      <formula>"Kweken"</formula>
    </cfRule>
    <cfRule type="cellIs" dxfId="5789" priority="376" operator="equal">
      <formula>"Partnerbijdrage"</formula>
    </cfRule>
    <cfRule type="cellIs" dxfId="5788" priority="377" operator="equal">
      <formula>"TV-pagina"</formula>
    </cfRule>
    <cfRule type="cellIs" dxfId="5787" priority="378" operator="equal">
      <formula>"Tuinklussen"</formula>
    </cfRule>
    <cfRule type="cellIs" dxfId="5786" priority="379" operator="equal">
      <formula>"Inspiratie"</formula>
    </cfRule>
  </conditionalFormatting>
  <conditionalFormatting sqref="F70">
    <cfRule type="containsText" dxfId="5785" priority="1135" operator="containsText" text="[adv]">
      <formula>NOT(ISERROR(SEARCH("[adv]",F70)))</formula>
    </cfRule>
    <cfRule type="containsText" dxfId="5784" priority="1136" operator="containsText" text="[pluk]">
      <formula>NOT(ISERROR(SEARCH("[pluk]",F70)))</formula>
    </cfRule>
    <cfRule type="cellIs" dxfId="5783" priority="1137" operator="equal">
      <formula>"_"</formula>
    </cfRule>
    <cfRule type="cellIs" dxfId="5782" priority="1138" operator="equal">
      <formula>"Moestuin"</formula>
    </cfRule>
    <cfRule type="cellIs" dxfId="5781" priority="1139" operator="equal">
      <formula>"Hub"</formula>
    </cfRule>
    <cfRule type="cellIs" dxfId="5780" priority="1140" operator="equal">
      <formula>"Snoeien"</formula>
    </cfRule>
    <cfRule type="cellIs" dxfId="5779" priority="1141" operator="equal">
      <formula>"Biodiversiteit"</formula>
    </cfRule>
    <cfRule type="cellIs" dxfId="5778" priority="1142" operator="equal">
      <formula>"Kamerplanten"</formula>
    </cfRule>
    <cfRule type="cellIs" dxfId="5777" priority="1143" operator="equal">
      <formula>"RERUN"</formula>
    </cfRule>
    <cfRule type="cellIs" dxfId="5776" priority="1144" operator="equal">
      <formula>"Kweken"</formula>
    </cfRule>
    <cfRule type="cellIs" dxfId="5775" priority="1145" operator="equal">
      <formula>"Partnerbijdrage"</formula>
    </cfRule>
    <cfRule type="cellIs" dxfId="5774" priority="1146" operator="equal">
      <formula>"TV-pagina"</formula>
    </cfRule>
    <cfRule type="cellIs" dxfId="5773" priority="1147" operator="equal">
      <formula>"Tuinklussen"</formula>
    </cfRule>
    <cfRule type="cellIs" dxfId="5772" priority="1148" operator="equal">
      <formula>"Inspiratie"</formula>
    </cfRule>
  </conditionalFormatting>
  <conditionalFormatting sqref="F72">
    <cfRule type="containsText" dxfId="5771" priority="4576" operator="containsText" text="[adv]">
      <formula>NOT(ISERROR(SEARCH("[adv]",F72)))</formula>
    </cfRule>
    <cfRule type="containsText" dxfId="5770" priority="4577" operator="containsText" text="[pluk]">
      <formula>NOT(ISERROR(SEARCH("[pluk]",F72)))</formula>
    </cfRule>
    <cfRule type="cellIs" dxfId="5769" priority="4578" operator="equal">
      <formula>"_"</formula>
    </cfRule>
    <cfRule type="cellIs" dxfId="5768" priority="4579" operator="equal">
      <formula>"Moestuin"</formula>
    </cfRule>
    <cfRule type="cellIs" dxfId="5767" priority="4580" operator="equal">
      <formula>"Hub"</formula>
    </cfRule>
    <cfRule type="cellIs" dxfId="5766" priority="4581" operator="equal">
      <formula>"Snoeien"</formula>
    </cfRule>
    <cfRule type="cellIs" dxfId="5765" priority="4582" operator="equal">
      <formula>"Biodiversiteit"</formula>
    </cfRule>
    <cfRule type="cellIs" dxfId="5764" priority="4583" operator="equal">
      <formula>"Kamerplanten"</formula>
    </cfRule>
    <cfRule type="cellIs" dxfId="5763" priority="4584" operator="equal">
      <formula>"RERUN"</formula>
    </cfRule>
    <cfRule type="cellIs" dxfId="5762" priority="4585" operator="equal">
      <formula>"Kweken"</formula>
    </cfRule>
    <cfRule type="cellIs" dxfId="5761" priority="4586" operator="equal">
      <formula>"Partnerbijdrage"</formula>
    </cfRule>
    <cfRule type="cellIs" dxfId="5760" priority="4587" operator="equal">
      <formula>"TV-pagina"</formula>
    </cfRule>
    <cfRule type="cellIs" dxfId="5759" priority="4588" operator="equal">
      <formula>"Tuinklussen"</formula>
    </cfRule>
    <cfRule type="cellIs" dxfId="5758" priority="4589" operator="equal">
      <formula>"Inspiratie"</formula>
    </cfRule>
  </conditionalFormatting>
  <conditionalFormatting sqref="F73">
    <cfRule type="containsText" dxfId="5757" priority="200" operator="containsText" text="[adv]">
      <formula>NOT(ISERROR(SEARCH("[adv]",F73)))</formula>
    </cfRule>
    <cfRule type="containsText" dxfId="5756" priority="201" operator="containsText" text="[pluk]">
      <formula>NOT(ISERROR(SEARCH("[pluk]",F73)))</formula>
    </cfRule>
    <cfRule type="cellIs" dxfId="5755" priority="202" operator="equal">
      <formula>"_"</formula>
    </cfRule>
    <cfRule type="cellIs" dxfId="5754" priority="203" operator="equal">
      <formula>"Moestuin"</formula>
    </cfRule>
    <cfRule type="cellIs" dxfId="5753" priority="204" operator="equal">
      <formula>"Hub"</formula>
    </cfRule>
    <cfRule type="cellIs" dxfId="5752" priority="205" operator="equal">
      <formula>"Snoeien"</formula>
    </cfRule>
    <cfRule type="cellIs" dxfId="5751" priority="206" operator="equal">
      <formula>"Biodiversiteit"</formula>
    </cfRule>
    <cfRule type="cellIs" dxfId="5750" priority="207" operator="equal">
      <formula>"Kamerplanten"</formula>
    </cfRule>
    <cfRule type="cellIs" dxfId="5749" priority="208" operator="equal">
      <formula>"RERUN"</formula>
    </cfRule>
    <cfRule type="cellIs" dxfId="5748" priority="209" operator="equal">
      <formula>"Kweken"</formula>
    </cfRule>
    <cfRule type="cellIs" dxfId="5747" priority="210" operator="equal">
      <formula>"Partnerbijdrage"</formula>
    </cfRule>
    <cfRule type="cellIs" dxfId="5746" priority="211" operator="equal">
      <formula>"TV-pagina"</formula>
    </cfRule>
    <cfRule type="cellIs" dxfId="5745" priority="212" operator="equal">
      <formula>"Tuinklussen"</formula>
    </cfRule>
    <cfRule type="cellIs" dxfId="5744" priority="213" operator="equal">
      <formula>"Inspiratie"</formula>
    </cfRule>
  </conditionalFormatting>
  <conditionalFormatting sqref="F74">
    <cfRule type="containsText" dxfId="5743" priority="1068" operator="containsText" text="[adv]">
      <formula>NOT(ISERROR(SEARCH("[adv]",F74)))</formula>
    </cfRule>
    <cfRule type="containsText" dxfId="5742" priority="1069" operator="containsText" text="[pluk]">
      <formula>NOT(ISERROR(SEARCH("[pluk]",F74)))</formula>
    </cfRule>
    <cfRule type="cellIs" dxfId="5741" priority="1070" operator="equal">
      <formula>"_"</formula>
    </cfRule>
    <cfRule type="cellIs" dxfId="5740" priority="1071" operator="equal">
      <formula>"Moestuin"</formula>
    </cfRule>
    <cfRule type="cellIs" dxfId="5739" priority="1072" operator="equal">
      <formula>"Hub"</formula>
    </cfRule>
    <cfRule type="cellIs" dxfId="5738" priority="1073" operator="equal">
      <formula>"Snoeien"</formula>
    </cfRule>
    <cfRule type="cellIs" dxfId="5737" priority="1074" operator="equal">
      <formula>"Biodiversiteit"</formula>
    </cfRule>
    <cfRule type="cellIs" dxfId="5736" priority="1075" operator="equal">
      <formula>"Kamerplanten"</formula>
    </cfRule>
    <cfRule type="cellIs" dxfId="5735" priority="1076" operator="equal">
      <formula>"RERUN"</formula>
    </cfRule>
    <cfRule type="cellIs" dxfId="5734" priority="1077" operator="equal">
      <formula>"Kweken"</formula>
    </cfRule>
    <cfRule type="cellIs" dxfId="5733" priority="1078" operator="equal">
      <formula>"Partnerbijdrage"</formula>
    </cfRule>
    <cfRule type="cellIs" dxfId="5732" priority="1079" operator="equal">
      <formula>"TV-pagina"</formula>
    </cfRule>
    <cfRule type="cellIs" dxfId="5731" priority="1080" operator="equal">
      <formula>"Tuinklussen"</formula>
    </cfRule>
    <cfRule type="cellIs" dxfId="5730" priority="1081" operator="equal">
      <formula>"Inspiratie"</formula>
    </cfRule>
  </conditionalFormatting>
  <conditionalFormatting sqref="F76">
    <cfRule type="containsText" dxfId="5729" priority="403" operator="containsText" text="[adv]">
      <formula>NOT(ISERROR(SEARCH("[adv]",F76)))</formula>
    </cfRule>
    <cfRule type="containsText" dxfId="5728" priority="404" operator="containsText" text="[pluk]">
      <formula>NOT(ISERROR(SEARCH("[pluk]",F76)))</formula>
    </cfRule>
    <cfRule type="cellIs" dxfId="5727" priority="405" operator="equal">
      <formula>"_"</formula>
    </cfRule>
    <cfRule type="cellIs" dxfId="5726" priority="406" operator="equal">
      <formula>"Moestuin"</formula>
    </cfRule>
    <cfRule type="cellIs" dxfId="5725" priority="407" operator="equal">
      <formula>"Hub"</formula>
    </cfRule>
    <cfRule type="cellIs" dxfId="5724" priority="408" operator="equal">
      <formula>"Snoeien"</formula>
    </cfRule>
    <cfRule type="cellIs" dxfId="5723" priority="409" operator="equal">
      <formula>"Biodiversiteit"</formula>
    </cfRule>
    <cfRule type="cellIs" dxfId="5722" priority="410" operator="equal">
      <formula>"Kamerplanten"</formula>
    </cfRule>
    <cfRule type="cellIs" dxfId="5721" priority="411" operator="equal">
      <formula>"RERUN"</formula>
    </cfRule>
    <cfRule type="cellIs" dxfId="5720" priority="412" operator="equal">
      <formula>"Kweken"</formula>
    </cfRule>
    <cfRule type="cellIs" dxfId="5719" priority="413" operator="equal">
      <formula>"Partnerbijdrage"</formula>
    </cfRule>
    <cfRule type="cellIs" dxfId="5718" priority="414" operator="equal">
      <formula>"TV-pagina"</formula>
    </cfRule>
    <cfRule type="cellIs" dxfId="5717" priority="415" operator="equal">
      <formula>"Tuinklussen"</formula>
    </cfRule>
    <cfRule type="cellIs" dxfId="5716" priority="416" operator="equal">
      <formula>"Inspiratie"</formula>
    </cfRule>
  </conditionalFormatting>
  <conditionalFormatting sqref="F77">
    <cfRule type="cellIs" dxfId="5715" priority="432" operator="equal">
      <formula>"Moestuin"</formula>
    </cfRule>
    <cfRule type="cellIs" dxfId="5714" priority="433" operator="equal">
      <formula>"Hub"</formula>
    </cfRule>
    <cfRule type="cellIs" dxfId="5713" priority="434" operator="equal">
      <formula>"Snoeien"</formula>
    </cfRule>
    <cfRule type="cellIs" dxfId="5712" priority="435" operator="equal">
      <formula>"Biodiversiteit"</formula>
    </cfRule>
    <cfRule type="cellIs" dxfId="5711" priority="436" operator="equal">
      <formula>"Kamerplanten"</formula>
    </cfRule>
    <cfRule type="cellIs" dxfId="5710" priority="437" operator="equal">
      <formula>"RERUN"</formula>
    </cfRule>
    <cfRule type="cellIs" dxfId="5709" priority="438" operator="equal">
      <formula>"Kweken"</formula>
    </cfRule>
    <cfRule type="cellIs" dxfId="5708" priority="439" operator="equal">
      <formula>"Partnerbijdrage"</formula>
    </cfRule>
    <cfRule type="cellIs" dxfId="5707" priority="440" operator="equal">
      <formula>"TV-pagina"</formula>
    </cfRule>
    <cfRule type="cellIs" dxfId="5706" priority="441" operator="equal">
      <formula>"Tuinklussen"</formula>
    </cfRule>
    <cfRule type="cellIs" dxfId="5705" priority="442" operator="equal">
      <formula>"Inspiratie"</formula>
    </cfRule>
  </conditionalFormatting>
  <conditionalFormatting sqref="F80:F81 F84:F90 F92:F98 F100:F106 F108:F114 F116:F122 F124:F130 F132:F138 F140:F146 F148:F154 F156:F162 F164:F170 F172:F178 F180:F186 F188:F194 F196:F202 E204:F210 E212:F218 E220:F226 F228:F234 E236:F242 E244:F250 F252:F258 F260:F266 F268:F274 E276:F282 F284:F290 E292:F298 F300:F306 F308:F314 F317:G322 F324:F330 E332:F338 E340:F346 E348:L354 E356:G362 E364:F370 E372:F378 E380:F386 E388:F394 E396:F402 F404:F410 E412:F418">
    <cfRule type="containsText" dxfId="5704" priority="4877" operator="containsText" text="[pluk]">
      <formula>NOT(ISERROR(SEARCH("[pluk]",E80)))</formula>
    </cfRule>
  </conditionalFormatting>
  <conditionalFormatting sqref="F82">
    <cfRule type="containsText" dxfId="5703" priority="156" operator="containsText" text="[adv]">
      <formula>NOT(ISERROR(SEARCH("[adv]",F82)))</formula>
    </cfRule>
    <cfRule type="containsText" dxfId="5702" priority="157" operator="containsText" text="[pluk]">
      <formula>NOT(ISERROR(SEARCH("[pluk]",F82)))</formula>
    </cfRule>
    <cfRule type="cellIs" dxfId="5701" priority="158" operator="equal">
      <formula>"_"</formula>
    </cfRule>
    <cfRule type="cellIs" dxfId="5700" priority="159" operator="equal">
      <formula>"Moestuin"</formula>
    </cfRule>
    <cfRule type="cellIs" dxfId="5699" priority="160" operator="equal">
      <formula>"Hub"</formula>
    </cfRule>
    <cfRule type="cellIs" dxfId="5698" priority="161" operator="equal">
      <formula>"Snoeien"</formula>
    </cfRule>
    <cfRule type="cellIs" dxfId="5697" priority="162" operator="equal">
      <formula>"Biodiversiteit"</formula>
    </cfRule>
    <cfRule type="cellIs" dxfId="5696" priority="163" operator="equal">
      <formula>"Kamerplanten"</formula>
    </cfRule>
    <cfRule type="cellIs" dxfId="5695" priority="164" operator="equal">
      <formula>"RERUN"</formula>
    </cfRule>
    <cfRule type="cellIs" dxfId="5694" priority="165" operator="equal">
      <formula>"Kweken"</formula>
    </cfRule>
    <cfRule type="cellIs" dxfId="5693" priority="166" operator="equal">
      <formula>"Partnerbijdrage"</formula>
    </cfRule>
    <cfRule type="cellIs" dxfId="5692" priority="167" operator="equal">
      <formula>"TV-pagina"</formula>
    </cfRule>
    <cfRule type="cellIs" dxfId="5691" priority="168" operator="equal">
      <formula>"Tuinklussen"</formula>
    </cfRule>
    <cfRule type="cellIs" dxfId="5690" priority="169" operator="equal">
      <formula>"Inspiratie"</formula>
    </cfRule>
  </conditionalFormatting>
  <conditionalFormatting sqref="F84:F90 F317:F322 F132:F138 F140:F146 F148:F154 F156:F162 F164:F170 F172:F178 F180:F186 F188:F194 F196:F202 F204:F210 F212:F218 F220:F226 F228:F234 F236:F242 F244:F250 F252:F258 F260:F266 F268:F274 F276:F282 F284:F290 F292:F298 F300:F306 F308:F314 F324:F330 F332:F338 F340:F346 F348:F354 F356:F362 F364:F370 F372:F378 F380:F386 F388:F394 F396:F402 F404:F410 F412:F418 F80:F81 F92:F98 F100:F106 F108:F114 F116:F122 F124:F130">
    <cfRule type="containsText" dxfId="5689" priority="4876" operator="containsText" text="[adv]">
      <formula>NOT(ISERROR(SEARCH("[adv]",F80)))</formula>
    </cfRule>
    <cfRule type="cellIs" dxfId="5688" priority="4878" operator="equal">
      <formula>"_"</formula>
    </cfRule>
    <cfRule type="cellIs" dxfId="5687" priority="4879" operator="equal">
      <formula>"Moestuin"</formula>
    </cfRule>
    <cfRule type="cellIs" dxfId="5686" priority="4880" operator="equal">
      <formula>"Hub"</formula>
    </cfRule>
    <cfRule type="cellIs" dxfId="5685" priority="4881" operator="equal">
      <formula>"Snoeien"</formula>
    </cfRule>
    <cfRule type="cellIs" dxfId="5684" priority="4882" operator="equal">
      <formula>"Biodiversiteit"</formula>
    </cfRule>
    <cfRule type="cellIs" dxfId="5683" priority="4883" operator="equal">
      <formula>"Kamerplanten"</formula>
    </cfRule>
    <cfRule type="cellIs" dxfId="5682" priority="4884" operator="equal">
      <formula>"RERUN"</formula>
    </cfRule>
    <cfRule type="cellIs" dxfId="5681" priority="4885" operator="equal">
      <formula>"Kweken"</formula>
    </cfRule>
    <cfRule type="cellIs" dxfId="5680" priority="4886" operator="equal">
      <formula>"Partnerbijdrage"</formula>
    </cfRule>
    <cfRule type="cellIs" dxfId="5679" priority="4887" operator="equal">
      <formula>"TV-pagina"</formula>
    </cfRule>
    <cfRule type="cellIs" dxfId="5678" priority="4888" operator="equal">
      <formula>"Tuinklussen"</formula>
    </cfRule>
    <cfRule type="cellIs" dxfId="5677" priority="4889" operator="equal">
      <formula>"Inspiratie"</formula>
    </cfRule>
  </conditionalFormatting>
  <conditionalFormatting sqref="F14:G14 U16:X16 G28:L28 I29:L29 F30:L30 I32:L32 I34:L34 F35:L35 S37 F38:L38 Q42 S42 F43:L43 Q43:X43 G45:L45 I46:L46 G47:L47 Q51:X51 G53:L55 Q54:Q55 F59:L59 Q59:X59 Q60:Q61 G62 H84 U42:X42 U60:X61 I36:L37 I41:L42 G31:L31 G39:L39 S47:X47 S49:X49 U48:X48 U50:X50 G49:L49 I48:L48 I44:L44 I50:L50 U54:X56 Q57:Q58 F51:L52 I60:L62 I56:L58 G60:H60 S57:X58 S61:T61 S46 U45:X46">
    <cfRule type="cellIs" dxfId="5676" priority="8098" operator="equal">
      <formula>"_"</formula>
    </cfRule>
  </conditionalFormatting>
  <conditionalFormatting sqref="F14:G14">
    <cfRule type="containsText" dxfId="5675" priority="8097" operator="containsText" text="[pluk]">
      <formula>NOT(ISERROR(SEARCH("[pluk]",F14)))</formula>
    </cfRule>
  </conditionalFormatting>
  <conditionalFormatting sqref="F21:H21">
    <cfRule type="containsText" dxfId="5674" priority="7771" operator="containsText" text="[adv]">
      <formula>NOT(ISERROR(SEARCH("[adv]",F21)))</formula>
    </cfRule>
    <cfRule type="containsText" dxfId="5673" priority="7772" operator="containsText" text="[pluk]">
      <formula>NOT(ISERROR(SEARCH("[pluk]",F21)))</formula>
    </cfRule>
    <cfRule type="cellIs" dxfId="5672" priority="7773" operator="equal">
      <formula>"_"</formula>
    </cfRule>
  </conditionalFormatting>
  <conditionalFormatting sqref="F77:H77">
    <cfRule type="cellIs" dxfId="5671" priority="431" operator="equal">
      <formula>"_"</formula>
    </cfRule>
    <cfRule type="containsText" dxfId="5670" priority="443" operator="containsText" text="[adv]">
      <formula>NOT(ISERROR(SEARCH("[adv]",F77)))</formula>
    </cfRule>
  </conditionalFormatting>
  <conditionalFormatting sqref="F71:L71 G72">
    <cfRule type="cellIs" dxfId="5669" priority="7588" operator="equal">
      <formula>"_"</formula>
    </cfRule>
  </conditionalFormatting>
  <conditionalFormatting sqref="G71:G72 S108:S110 S141">
    <cfRule type="containsText" dxfId="5668" priority="7586" operator="containsText" text="[adv]">
      <formula>NOT(ISERROR(SEARCH("[adv]",G71)))</formula>
    </cfRule>
  </conditionalFormatting>
  <conditionalFormatting sqref="G71:G72 S108:S111 S141">
    <cfRule type="containsText" dxfId="5667" priority="7587" operator="containsText" text="[pluk]">
      <formula>NOT(ISERROR(SEARCH("[pluk]",G71)))</formula>
    </cfRule>
  </conditionalFormatting>
  <conditionalFormatting sqref="G74">
    <cfRule type="cellIs" dxfId="5666" priority="1083" operator="equal">
      <formula>"_"</formula>
    </cfRule>
  </conditionalFormatting>
  <conditionalFormatting sqref="G81 G84:G88">
    <cfRule type="cellIs" dxfId="5665" priority="7565" operator="equal">
      <formula>"_"</formula>
    </cfRule>
  </conditionalFormatting>
  <conditionalFormatting sqref="G82">
    <cfRule type="containsText" dxfId="5664" priority="170" operator="containsText" text="[adv]">
      <formula>NOT(ISERROR(SEARCH("[adv]",G82)))</formula>
    </cfRule>
    <cfRule type="containsText" dxfId="5663" priority="171" operator="containsText" text="[pluk]">
      <formula>NOT(ISERROR(SEARCH("[pluk]",G82)))</formula>
    </cfRule>
    <cfRule type="cellIs" dxfId="5662" priority="172" operator="equal">
      <formula>"_"</formula>
    </cfRule>
  </conditionalFormatting>
  <conditionalFormatting sqref="G121">
    <cfRule type="containsText" dxfId="5661" priority="7583" operator="containsText" text="[pluk]">
      <formula>NOT(ISERROR(SEARCH("[pluk]",G121)))</formula>
    </cfRule>
  </conditionalFormatting>
  <conditionalFormatting sqref="G134">
    <cfRule type="containsText" dxfId="5660" priority="7383" operator="containsText" text="[adv]">
      <formula>NOT(ISERROR(SEARCH("[adv]",G134)))</formula>
    </cfRule>
  </conditionalFormatting>
  <conditionalFormatting sqref="G141">
    <cfRule type="containsText" dxfId="5659" priority="7349" operator="containsText" text="[adv]">
      <formula>NOT(ISERROR(SEARCH("[adv]",G141)))</formula>
    </cfRule>
  </conditionalFormatting>
  <conditionalFormatting sqref="G144">
    <cfRule type="timePeriod" dxfId="5658" priority="8094" timePeriod="thisMonth">
      <formula>AND(MONTH(G144)=MONTH(TODAY()),YEAR(G144)=YEAR(TODAY()))</formula>
    </cfRule>
    <cfRule type="cellIs" dxfId="5657" priority="9395" operator="equal">
      <formula>"Moestuin"</formula>
    </cfRule>
    <cfRule type="cellIs" dxfId="5656" priority="9396" operator="equal">
      <formula>"Hub"</formula>
    </cfRule>
    <cfRule type="cellIs" dxfId="5655" priority="9397" operator="equal">
      <formula>"Snoeien"</formula>
    </cfRule>
    <cfRule type="cellIs" dxfId="5654" priority="9398" operator="equal">
      <formula>"Biodiversiteit"</formula>
    </cfRule>
    <cfRule type="cellIs" dxfId="5653" priority="9399" operator="equal">
      <formula>"Kamerplanten"</formula>
    </cfRule>
    <cfRule type="cellIs" dxfId="5652" priority="9400" operator="equal">
      <formula>"RERUN"</formula>
    </cfRule>
    <cfRule type="cellIs" dxfId="5651" priority="9401" operator="equal">
      <formula>"Kweken"</formula>
    </cfRule>
    <cfRule type="cellIs" dxfId="5650" priority="9402" operator="equal">
      <formula>"Partnerbijdrage"</formula>
    </cfRule>
    <cfRule type="cellIs" dxfId="5649" priority="9403" operator="equal">
      <formula>"TV-pagina"</formula>
    </cfRule>
    <cfRule type="cellIs" dxfId="5648" priority="9404" operator="equal">
      <formula>"Tuinklussen"</formula>
    </cfRule>
    <cfRule type="cellIs" dxfId="5647" priority="9410" operator="equal">
      <formula>"Inspiratie"</formula>
    </cfRule>
  </conditionalFormatting>
  <conditionalFormatting sqref="G150">
    <cfRule type="timePeriod" dxfId="5646" priority="7272" timePeriod="thisMonth">
      <formula>AND(MONTH(G150)=MONTH(TODAY()),YEAR(G150)=YEAR(TODAY()))</formula>
    </cfRule>
    <cfRule type="cellIs" dxfId="5645" priority="7274" operator="equal">
      <formula>"Moestuin"</formula>
    </cfRule>
    <cfRule type="cellIs" dxfId="5644" priority="7275" operator="equal">
      <formula>"Hub"</formula>
    </cfRule>
    <cfRule type="cellIs" dxfId="5643" priority="7276" operator="equal">
      <formula>"Snoeien"</formula>
    </cfRule>
    <cfRule type="cellIs" dxfId="5642" priority="7277" operator="equal">
      <formula>"Biodiversiteit"</formula>
    </cfRule>
    <cfRule type="cellIs" dxfId="5641" priority="7278" operator="equal">
      <formula>"Kamerplanten"</formula>
    </cfRule>
    <cfRule type="cellIs" dxfId="5640" priority="7279" operator="equal">
      <formula>"RERUN"</formula>
    </cfRule>
    <cfRule type="cellIs" dxfId="5639" priority="7280" operator="equal">
      <formula>"Kweken"</formula>
    </cfRule>
    <cfRule type="cellIs" dxfId="5638" priority="7281" operator="equal">
      <formula>"Partnerbijdrage"</formula>
    </cfRule>
    <cfRule type="cellIs" dxfId="5637" priority="7282" operator="equal">
      <formula>"TV-pagina"</formula>
    </cfRule>
    <cfRule type="cellIs" dxfId="5636" priority="7283" operator="equal">
      <formula>"Tuinklussen"</formula>
    </cfRule>
    <cfRule type="cellIs" dxfId="5635" priority="7284" operator="equal">
      <formula>"Inspiratie"</formula>
    </cfRule>
  </conditionalFormatting>
  <conditionalFormatting sqref="G151">
    <cfRule type="containsText" dxfId="5634" priority="7358" operator="containsText" text="[adv]">
      <formula>NOT(ISERROR(SEARCH("[adv]",G151)))</formula>
    </cfRule>
  </conditionalFormatting>
  <conditionalFormatting sqref="G159">
    <cfRule type="containsText" dxfId="5633" priority="7264" operator="containsText" text="[adv]">
      <formula>NOT(ISERROR(SEARCH("[adv]",G159)))</formula>
    </cfRule>
  </conditionalFormatting>
  <conditionalFormatting sqref="G165">
    <cfRule type="cellIs" dxfId="5632" priority="7159" operator="equal">
      <formula>"Moestuin"</formula>
    </cfRule>
    <cfRule type="cellIs" dxfId="5631" priority="7160" operator="equal">
      <formula>"Hub"</formula>
    </cfRule>
    <cfRule type="cellIs" dxfId="5630" priority="7161" operator="equal">
      <formula>"Snoeien"</formula>
    </cfRule>
    <cfRule type="cellIs" dxfId="5629" priority="7162" operator="equal">
      <formula>"Biodiversiteit"</formula>
    </cfRule>
    <cfRule type="cellIs" dxfId="5628" priority="7163" operator="equal">
      <formula>"Kamerplanten"</formula>
    </cfRule>
    <cfRule type="cellIs" dxfId="5627" priority="7164" operator="equal">
      <formula>"RERUN"</formula>
    </cfRule>
    <cfRule type="cellIs" dxfId="5626" priority="7165" operator="equal">
      <formula>"Kweken"</formula>
    </cfRule>
    <cfRule type="cellIs" dxfId="5625" priority="7166" operator="equal">
      <formula>"Partnerbijdrage"</formula>
    </cfRule>
    <cfRule type="cellIs" dxfId="5624" priority="7167" operator="equal">
      <formula>"TV-pagina"</formula>
    </cfRule>
    <cfRule type="cellIs" dxfId="5623" priority="7168" operator="equal">
      <formula>"Tuinklussen"</formula>
    </cfRule>
    <cfRule type="cellIs" dxfId="5622" priority="7169" operator="equal">
      <formula>"Inspiratie"</formula>
    </cfRule>
    <cfRule type="timePeriod" dxfId="5621" priority="7233" timePeriod="thisMonth">
      <formula>AND(MONTH(G165)=MONTH(TODAY()),YEAR(G165)=YEAR(TODAY()))</formula>
    </cfRule>
  </conditionalFormatting>
  <conditionalFormatting sqref="G167:G169 E169">
    <cfRule type="containsText" dxfId="5620" priority="7109" operator="containsText" text="[pluk]">
      <formula>NOT(ISERROR(SEARCH("[pluk]",E167)))</formula>
    </cfRule>
  </conditionalFormatting>
  <conditionalFormatting sqref="G169">
    <cfRule type="timePeriod" dxfId="5619" priority="7110" timePeriod="thisMonth">
      <formula>AND(MONTH(G169)=MONTH(TODAY()),YEAR(G169)=YEAR(TODAY()))</formula>
    </cfRule>
  </conditionalFormatting>
  <conditionalFormatting sqref="G173">
    <cfRule type="timePeriod" dxfId="5618" priority="7054" timePeriod="thisMonth">
      <formula>AND(MONTH(G173)=MONTH(TODAY()),YEAR(G173)=YEAR(TODAY()))</formula>
    </cfRule>
    <cfRule type="notContainsBlanks" dxfId="5617" priority="7055">
      <formula>LEN(TRIM(G173))&gt;0</formula>
    </cfRule>
    <cfRule type="notContainsBlanks" dxfId="5616" priority="7056">
      <formula>LEN(TRIM(G173))&gt;0</formula>
    </cfRule>
    <cfRule type="cellIs" dxfId="5615" priority="7057" operator="equal">
      <formula>"ID+"</formula>
    </cfRule>
    <cfRule type="cellIs" dxfId="5614" priority="7058" operator="equal">
      <formula>"HK*"</formula>
    </cfRule>
    <cfRule type="cellIs" dxfId="5613" priority="7059" operator="equal">
      <formula>"HK"</formula>
    </cfRule>
    <cfRule type="cellIs" dxfId="5612" priority="7060" operator="equal">
      <formula>"HK+"</formula>
    </cfRule>
    <cfRule type="cellIs" dxfId="5611" priority="7061" operator="equal">
      <formula>"ID"</formula>
    </cfRule>
    <cfRule type="cellIs" dxfId="5610" priority="7062" operator="equal">
      <formula>"ID*"</formula>
    </cfRule>
    <cfRule type="notContainsBlanks" dxfId="5609" priority="7063">
      <formula>LEN(TRIM(G173))&gt;0</formula>
    </cfRule>
  </conditionalFormatting>
  <conditionalFormatting sqref="G177">
    <cfRule type="containsText" dxfId="5608" priority="7115" operator="containsText" text="[adv]">
      <formula>NOT(ISERROR(SEARCH("[adv]",G177)))</formula>
    </cfRule>
  </conditionalFormatting>
  <conditionalFormatting sqref="G182 V3:V75 J3:J75 AH3:AH75 V83:V1048576 J83:J1048576 AH83:AH1048576">
    <cfRule type="notContainsBlanks" dxfId="5607" priority="7076">
      <formula>LEN(TRIM(G3))&gt;0</formula>
    </cfRule>
  </conditionalFormatting>
  <conditionalFormatting sqref="G184">
    <cfRule type="timePeriod" dxfId="5606" priority="7174" timePeriod="thisMonth">
      <formula>AND(MONTH(G184)=MONTH(TODAY()),YEAR(G184)=YEAR(TODAY()))</formula>
    </cfRule>
    <cfRule type="containsText" dxfId="5605" priority="7175" operator="containsText" text="[adv]">
      <formula>NOT(ISERROR(SEARCH("[adv]",G184)))</formula>
    </cfRule>
    <cfRule type="cellIs" dxfId="5604" priority="7176" operator="equal">
      <formula>"Moestuin"</formula>
    </cfRule>
    <cfRule type="cellIs" dxfId="5603" priority="7177" operator="equal">
      <formula>"Hub"</formula>
    </cfRule>
    <cfRule type="cellIs" dxfId="5602" priority="7178" operator="equal">
      <formula>"Snoeien"</formula>
    </cfRule>
    <cfRule type="cellIs" dxfId="5601" priority="7179" operator="equal">
      <formula>"Biodiversiteit"</formula>
    </cfRule>
    <cfRule type="cellIs" dxfId="5600" priority="7180" operator="equal">
      <formula>"Kamerplanten"</formula>
    </cfRule>
    <cfRule type="cellIs" dxfId="5599" priority="7181" operator="equal">
      <formula>"RERUN"</formula>
    </cfRule>
    <cfRule type="cellIs" dxfId="5598" priority="7182" operator="equal">
      <formula>"Kweken"</formula>
    </cfRule>
    <cfRule type="cellIs" dxfId="5597" priority="7183" operator="equal">
      <formula>"Partnerbijdrage"</formula>
    </cfRule>
    <cfRule type="cellIs" dxfId="5596" priority="7184" operator="equal">
      <formula>"TV-pagina"</formula>
    </cfRule>
    <cfRule type="cellIs" dxfId="5595" priority="7185" operator="equal">
      <formula>"Tuinklussen"</formula>
    </cfRule>
    <cfRule type="cellIs" dxfId="5594" priority="7186" operator="equal">
      <formula>"Inspiratie"</formula>
    </cfRule>
    <cfRule type="cellIs" dxfId="5593" priority="7187" operator="equal">
      <formula>"_"</formula>
    </cfRule>
    <cfRule type="containsText" dxfId="5592" priority="7188" operator="containsText" text="[pluk]">
      <formula>NOT(ISERROR(SEARCH("[pluk]",G184)))</formula>
    </cfRule>
  </conditionalFormatting>
  <conditionalFormatting sqref="G189">
    <cfRule type="containsText" dxfId="5591" priority="6936" operator="containsText" text="[adv]">
      <formula>NOT(ISERROR(SEARCH("[adv]",G189)))</formula>
    </cfRule>
    <cfRule type="cellIs" dxfId="5590" priority="6937" operator="equal">
      <formula>"Moestuin"</formula>
    </cfRule>
    <cfRule type="cellIs" dxfId="5589" priority="6938" operator="equal">
      <formula>"Hub"</formula>
    </cfRule>
    <cfRule type="cellIs" dxfId="5588" priority="6939" operator="equal">
      <formula>"Snoeien"</formula>
    </cfRule>
    <cfRule type="cellIs" dxfId="5587" priority="6940" operator="equal">
      <formula>"Biodiversiteit"</formula>
    </cfRule>
    <cfRule type="cellIs" dxfId="5586" priority="6941" operator="equal">
      <formula>"Kamerplanten"</formula>
    </cfRule>
    <cfRule type="cellIs" dxfId="5585" priority="6942" operator="equal">
      <formula>"RERUN"</formula>
    </cfRule>
    <cfRule type="cellIs" dxfId="5584" priority="6943" operator="equal">
      <formula>"Kweken"</formula>
    </cfRule>
    <cfRule type="cellIs" dxfId="5583" priority="6944" operator="equal">
      <formula>"Partnerbijdrage"</formula>
    </cfRule>
    <cfRule type="cellIs" dxfId="5582" priority="6945" operator="equal">
      <formula>"TV-pagina"</formula>
    </cfRule>
    <cfRule type="cellIs" dxfId="5581" priority="6946" operator="equal">
      <formula>"Tuinklussen"</formula>
    </cfRule>
    <cfRule type="cellIs" dxfId="5580" priority="6947" operator="equal">
      <formula>"Inspiratie"</formula>
    </cfRule>
    <cfRule type="cellIs" dxfId="5579" priority="6948" operator="equal">
      <formula>"_"</formula>
    </cfRule>
    <cfRule type="containsText" dxfId="5578" priority="6949" operator="containsText" text="[pluk]">
      <formula>NOT(ISERROR(SEARCH("[pluk]",G189)))</formula>
    </cfRule>
  </conditionalFormatting>
  <conditionalFormatting sqref="G189:G190">
    <cfRule type="timePeriod" dxfId="5577" priority="6935" timePeriod="thisMonth">
      <formula>AND(MONTH(G189)=MONTH(TODAY()),YEAR(G189)=YEAR(TODAY()))</formula>
    </cfRule>
  </conditionalFormatting>
  <conditionalFormatting sqref="G190">
    <cfRule type="containsText" dxfId="5576" priority="6914" operator="containsText" text="[adv]">
      <formula>NOT(ISERROR(SEARCH("[adv]",G190)))</formula>
    </cfRule>
    <cfRule type="cellIs" dxfId="5575" priority="6915" operator="equal">
      <formula>"Moestuin"</formula>
    </cfRule>
    <cfRule type="cellIs" dxfId="5574" priority="6916" operator="equal">
      <formula>"Hub"</formula>
    </cfRule>
    <cfRule type="cellIs" dxfId="5573" priority="6917" operator="equal">
      <formula>"Snoeien"</formula>
    </cfRule>
    <cfRule type="cellIs" dxfId="5572" priority="6918" operator="equal">
      <formula>"Biodiversiteit"</formula>
    </cfRule>
    <cfRule type="cellIs" dxfId="5571" priority="6919" operator="equal">
      <formula>"Kamerplanten"</formula>
    </cfRule>
    <cfRule type="cellIs" dxfId="5570" priority="6920" operator="equal">
      <formula>"RERUN"</formula>
    </cfRule>
    <cfRule type="cellIs" dxfId="5569" priority="6921" operator="equal">
      <formula>"Kweken"</formula>
    </cfRule>
    <cfRule type="cellIs" dxfId="5568" priority="6922" operator="equal">
      <formula>"Partnerbijdrage"</formula>
    </cfRule>
    <cfRule type="cellIs" dxfId="5567" priority="6923" operator="equal">
      <formula>"TV-pagina"</formula>
    </cfRule>
    <cfRule type="cellIs" dxfId="5566" priority="6924" operator="equal">
      <formula>"Tuinklussen"</formula>
    </cfRule>
    <cfRule type="cellIs" dxfId="5565" priority="6925" operator="equal">
      <formula>"Inspiratie"</formula>
    </cfRule>
    <cfRule type="cellIs" dxfId="5564" priority="6926" operator="equal">
      <formula>"_"</formula>
    </cfRule>
  </conditionalFormatting>
  <conditionalFormatting sqref="G190:G191">
    <cfRule type="containsText" dxfId="5563" priority="6927" operator="containsText" text="[pluk]">
      <formula>NOT(ISERROR(SEARCH("[pluk]",G190)))</formula>
    </cfRule>
  </conditionalFormatting>
  <conditionalFormatting sqref="G191">
    <cfRule type="cellIs" dxfId="5562" priority="6928" operator="equal">
      <formula>"_"</formula>
    </cfRule>
  </conditionalFormatting>
  <conditionalFormatting sqref="G192">
    <cfRule type="timePeriod" dxfId="5561" priority="6959" timePeriod="thisMonth">
      <formula>AND(MONTH(G192)=MONTH(TODAY()),YEAR(G192)=YEAR(TODAY()))</formula>
    </cfRule>
    <cfRule type="cellIs" dxfId="5560" priority="6961" operator="equal">
      <formula>"_"</formula>
    </cfRule>
    <cfRule type="notContainsBlanks" dxfId="5559" priority="7042">
      <formula>LEN(TRIM(G192))&gt;0</formula>
    </cfRule>
    <cfRule type="notContainsBlanks" dxfId="5558" priority="7043">
      <formula>LEN(TRIM(G192))&gt;0</formula>
    </cfRule>
    <cfRule type="cellIs" dxfId="5557" priority="7044" operator="equal">
      <formula>"ID+"</formula>
    </cfRule>
    <cfRule type="cellIs" dxfId="5556" priority="7045" operator="equal">
      <formula>"HK*"</formula>
    </cfRule>
    <cfRule type="cellIs" dxfId="5555" priority="7046" operator="equal">
      <formula>"HK"</formula>
    </cfRule>
    <cfRule type="cellIs" dxfId="5554" priority="7047" operator="equal">
      <formula>"HK+"</formula>
    </cfRule>
    <cfRule type="cellIs" dxfId="5553" priority="7048" operator="equal">
      <formula>"ID"</formula>
    </cfRule>
    <cfRule type="cellIs" dxfId="5552" priority="7049" operator="equal">
      <formula>"ID*"</formula>
    </cfRule>
    <cfRule type="notContainsBlanks" dxfId="5551" priority="7050">
      <formula>LEN(TRIM(G192))&gt;0</formula>
    </cfRule>
  </conditionalFormatting>
  <conditionalFormatting sqref="G217 G221:L221">
    <cfRule type="containsText" dxfId="5550" priority="6801" operator="containsText" text="[pluk]">
      <formula>NOT(ISERROR(SEARCH("[pluk]",G217)))</formula>
    </cfRule>
  </conditionalFormatting>
  <conditionalFormatting sqref="G217">
    <cfRule type="timePeriod" dxfId="5549" priority="6797" timePeriod="thisMonth">
      <formula>AND(MONTH(G217)=MONTH(TODAY()),YEAR(G217)=YEAR(TODAY()))</formula>
    </cfRule>
    <cfRule type="notContainsBlanks" dxfId="5548" priority="6798">
      <formula>LEN(TRIM(G217))&gt;0</formula>
    </cfRule>
    <cfRule type="containsText" dxfId="5547" priority="6799" operator="containsText" text="[adv]">
      <formula>NOT(ISERROR(SEARCH("[adv]",G217)))</formula>
    </cfRule>
    <cfRule type="cellIs" dxfId="5546" priority="6800" operator="equal">
      <formula>"_"</formula>
    </cfRule>
  </conditionalFormatting>
  <conditionalFormatting sqref="G236:G237">
    <cfRule type="cellIs" dxfId="5545" priority="6718" operator="equal">
      <formula>"_"</formula>
    </cfRule>
  </conditionalFormatting>
  <conditionalFormatting sqref="G236:G238">
    <cfRule type="containsText" dxfId="5544" priority="6695" operator="containsText" text="[pluk]">
      <formula>NOT(ISERROR(SEARCH("[pluk]",G236)))</formula>
    </cfRule>
  </conditionalFormatting>
  <conditionalFormatting sqref="G238">
    <cfRule type="timePeriod" dxfId="5543" priority="6691" timePeriod="thisMonth">
      <formula>AND(MONTH(G238)=MONTH(TODAY()),YEAR(G238)=YEAR(TODAY()))</formula>
    </cfRule>
    <cfRule type="notContainsBlanks" dxfId="5542" priority="6692">
      <formula>LEN(TRIM(G238))&gt;0</formula>
    </cfRule>
    <cfRule type="containsText" dxfId="5541" priority="6693" operator="containsText" text="[adv]">
      <formula>NOT(ISERROR(SEARCH("[adv]",G238)))</formula>
    </cfRule>
    <cfRule type="cellIs" dxfId="5540" priority="6694" operator="equal">
      <formula>"_"</formula>
    </cfRule>
    <cfRule type="notContainsBlanks" dxfId="5539" priority="6698">
      <formula>LEN(TRIM(G238))&gt;0</formula>
    </cfRule>
    <cfRule type="cellIs" dxfId="5538" priority="6699" operator="equal">
      <formula>"ID+"</formula>
    </cfRule>
    <cfRule type="cellIs" dxfId="5537" priority="6700" operator="equal">
      <formula>"HK*"</formula>
    </cfRule>
    <cfRule type="cellIs" dxfId="5536" priority="6701" operator="equal">
      <formula>"HK"</formula>
    </cfRule>
    <cfRule type="cellIs" dxfId="5535" priority="6702" operator="equal">
      <formula>"HK+"</formula>
    </cfRule>
    <cfRule type="cellIs" dxfId="5534" priority="6703" operator="equal">
      <formula>"ID"</formula>
    </cfRule>
    <cfRule type="cellIs" dxfId="5533" priority="6704" operator="equal">
      <formula>"ID*"</formula>
    </cfRule>
    <cfRule type="notContainsBlanks" dxfId="5532" priority="6705">
      <formula>LEN(TRIM(G238))&gt;0</formula>
    </cfRule>
  </conditionalFormatting>
  <conditionalFormatting sqref="G260">
    <cfRule type="containsText" dxfId="5531" priority="6635" operator="containsText" text="[pluk]">
      <formula>NOT(ISERROR(SEARCH("[pluk]",G260)))</formula>
    </cfRule>
  </conditionalFormatting>
  <conditionalFormatting sqref="G263">
    <cfRule type="cellIs" dxfId="5530" priority="6520" operator="equal">
      <formula>"_"</formula>
    </cfRule>
    <cfRule type="cellIs" dxfId="5529" priority="6521" operator="equal">
      <formula>"Moestuin"</formula>
    </cfRule>
    <cfRule type="cellIs" dxfId="5528" priority="6522" operator="equal">
      <formula>"Hub"</formula>
    </cfRule>
    <cfRule type="cellIs" dxfId="5527" priority="6523" operator="equal">
      <formula>"Snoeien"</formula>
    </cfRule>
    <cfRule type="cellIs" dxfId="5526" priority="6524" operator="equal">
      <formula>"Biodiversiteit"</formula>
    </cfRule>
    <cfRule type="cellIs" dxfId="5525" priority="6525" operator="equal">
      <formula>"Kamerplanten"</formula>
    </cfRule>
    <cfRule type="cellIs" dxfId="5524" priority="6526" operator="equal">
      <formula>"RERUN"</formula>
    </cfRule>
    <cfRule type="cellIs" dxfId="5523" priority="6527" operator="equal">
      <formula>"Kweken"</formula>
    </cfRule>
    <cfRule type="cellIs" dxfId="5522" priority="6528" operator="equal">
      <formula>"Partnerbijdrage"</formula>
    </cfRule>
    <cfRule type="cellIs" dxfId="5521" priority="6529" operator="equal">
      <formula>"TV-pagina"</formula>
    </cfRule>
    <cfRule type="cellIs" dxfId="5520" priority="6530" operator="equal">
      <formula>"Tuinklussen"</formula>
    </cfRule>
    <cfRule type="cellIs" dxfId="5519" priority="6531" operator="equal">
      <formula>"Inspiratie"</formula>
    </cfRule>
  </conditionalFormatting>
  <conditionalFormatting sqref="G269">
    <cfRule type="containsText" dxfId="5518" priority="6593" operator="containsText" text="[pluk]">
      <formula>NOT(ISERROR(SEARCH("[pluk]",G269)))</formula>
    </cfRule>
    <cfRule type="cellIs" dxfId="5517" priority="6594" operator="equal">
      <formula>"_"</formula>
    </cfRule>
  </conditionalFormatting>
  <conditionalFormatting sqref="G271">
    <cfRule type="cellIs" dxfId="5516" priority="6479" operator="equal">
      <formula>"_"</formula>
    </cfRule>
    <cfRule type="cellIs" dxfId="5515" priority="6480" operator="equal">
      <formula>"Moestuin"</formula>
    </cfRule>
    <cfRule type="cellIs" dxfId="5514" priority="6481" operator="equal">
      <formula>"Hub"</formula>
    </cfRule>
    <cfRule type="cellIs" dxfId="5513" priority="6482" operator="equal">
      <formula>"Snoeien"</formula>
    </cfRule>
    <cfRule type="cellIs" dxfId="5512" priority="6483" operator="equal">
      <formula>"Biodiversiteit"</formula>
    </cfRule>
    <cfRule type="cellIs" dxfId="5511" priority="6484" operator="equal">
      <formula>"Kamerplanten"</formula>
    </cfRule>
    <cfRule type="cellIs" dxfId="5510" priority="6485" operator="equal">
      <formula>"RERUN"</formula>
    </cfRule>
    <cfRule type="cellIs" dxfId="5509" priority="6486" operator="equal">
      <formula>"Kweken"</formula>
    </cfRule>
    <cfRule type="cellIs" dxfId="5508" priority="6487" operator="equal">
      <formula>"Partnerbijdrage"</formula>
    </cfRule>
    <cfRule type="cellIs" dxfId="5507" priority="6488" operator="equal">
      <formula>"TV-pagina"</formula>
    </cfRule>
    <cfRule type="cellIs" dxfId="5506" priority="6489" operator="equal">
      <formula>"Tuinklussen"</formula>
    </cfRule>
    <cfRule type="cellIs" dxfId="5505" priority="6490" operator="equal">
      <formula>"Inspiratie"</formula>
    </cfRule>
  </conditionalFormatting>
  <conditionalFormatting sqref="G277">
    <cfRule type="containsText" dxfId="5504" priority="6367" operator="containsText" text="[pluk]">
      <formula>NOT(ISERROR(SEARCH("[pluk]",G277)))</formula>
    </cfRule>
    <cfRule type="cellIs" dxfId="5503" priority="6368" operator="equal">
      <formula>"_"</formula>
    </cfRule>
  </conditionalFormatting>
  <conditionalFormatting sqref="G289">
    <cfRule type="containsText" dxfId="5502" priority="6401" operator="containsText" text="[pluk]">
      <formula>NOT(ISERROR(SEARCH("[pluk]",G289)))</formula>
    </cfRule>
    <cfRule type="cellIs" dxfId="5501" priority="6402" operator="equal">
      <formula>"_"</formula>
    </cfRule>
  </conditionalFormatting>
  <conditionalFormatting sqref="G294">
    <cfRule type="containsText" dxfId="5500" priority="6348" operator="containsText" text="[pluk]">
      <formula>NOT(ISERROR(SEARCH("[pluk]",G294)))</formula>
    </cfRule>
    <cfRule type="cellIs" dxfId="5499" priority="6349" operator="equal">
      <formula>"_"</formula>
    </cfRule>
  </conditionalFormatting>
  <conditionalFormatting sqref="G310">
    <cfRule type="cellIs" dxfId="5498" priority="6313" operator="equal">
      <formula>"_"</formula>
    </cfRule>
  </conditionalFormatting>
  <conditionalFormatting sqref="G310:G314 G317:G322">
    <cfRule type="cellIs" dxfId="5497" priority="6315" operator="equal">
      <formula>"_"</formula>
    </cfRule>
  </conditionalFormatting>
  <conditionalFormatting sqref="G310:G314">
    <cfRule type="containsText" dxfId="5496" priority="6312" operator="containsText" text="[pluk]">
      <formula>NOT(ISERROR(SEARCH("[pluk]",G310)))</formula>
    </cfRule>
  </conditionalFormatting>
  <conditionalFormatting sqref="G328">
    <cfRule type="containsText" dxfId="5495" priority="6239" operator="containsText" text="[pluk]">
      <formula>NOT(ISERROR(SEARCH("[pluk]",G328)))</formula>
    </cfRule>
    <cfRule type="cellIs" dxfId="5494" priority="6240" operator="equal">
      <formula>"_"</formula>
    </cfRule>
    <cfRule type="cellIs" dxfId="5493" priority="6242" operator="equal">
      <formula>"_"</formula>
    </cfRule>
  </conditionalFormatting>
  <conditionalFormatting sqref="G367:G370 G372:G373">
    <cfRule type="cellIs" dxfId="5492" priority="7636" operator="equal">
      <formula>"_"</formula>
    </cfRule>
  </conditionalFormatting>
  <conditionalFormatting sqref="G372:G378">
    <cfRule type="containsText" dxfId="5491" priority="6181" operator="containsText" text="[pluk]">
      <formula>NOT(ISERROR(SEARCH("[pluk]",G372)))</formula>
    </cfRule>
  </conditionalFormatting>
  <conditionalFormatting sqref="G34:H34">
    <cfRule type="containsText" dxfId="5490" priority="3450" operator="containsText" text="[pluk]">
      <formula>NOT(ISERROR(SEARCH("[pluk]",G34)))</formula>
    </cfRule>
    <cfRule type="cellIs" dxfId="5489" priority="3451" operator="equal">
      <formula>"_"</formula>
    </cfRule>
  </conditionalFormatting>
  <conditionalFormatting sqref="G40:H40">
    <cfRule type="containsText" dxfId="5488" priority="1524" operator="containsText" text="[pluk]">
      <formula>NOT(ISERROR(SEARCH("[pluk]",G40)))</formula>
    </cfRule>
    <cfRule type="cellIs" dxfId="5487" priority="1525" operator="equal">
      <formula>"_"</formula>
    </cfRule>
  </conditionalFormatting>
  <conditionalFormatting sqref="G42:H42">
    <cfRule type="containsText" dxfId="5486" priority="3448" operator="containsText" text="[pluk]">
      <formula>NOT(ISERROR(SEARCH("[pluk]",G42)))</formula>
    </cfRule>
    <cfRule type="cellIs" dxfId="5485" priority="3449" operator="equal">
      <formula>"_"</formula>
    </cfRule>
  </conditionalFormatting>
  <conditionalFormatting sqref="G50:H50">
    <cfRule type="containsText" dxfId="5484" priority="1400" operator="containsText" text="[pluk]">
      <formula>NOT(ISERROR(SEARCH("[pluk]",G50)))</formula>
    </cfRule>
    <cfRule type="cellIs" dxfId="5483" priority="1401" operator="equal">
      <formula>"_"</formula>
    </cfRule>
  </conditionalFormatting>
  <conditionalFormatting sqref="G57:H57">
    <cfRule type="containsText" dxfId="5482" priority="1282" operator="containsText" text="[pluk]">
      <formula>NOT(ISERROR(SEARCH("[pluk]",G57)))</formula>
    </cfRule>
    <cfRule type="cellIs" dxfId="5481" priority="1283" operator="equal">
      <formula>"_"</formula>
    </cfRule>
  </conditionalFormatting>
  <conditionalFormatting sqref="G60:H60">
    <cfRule type="containsText" dxfId="5480" priority="1267" operator="containsText" text="[pluk]">
      <formula>NOT(ISERROR(SEARCH("[pluk]",G60)))</formula>
    </cfRule>
  </conditionalFormatting>
  <conditionalFormatting sqref="G61:H61">
    <cfRule type="containsText" dxfId="5479" priority="1351" operator="containsText" text="[pluk]">
      <formula>NOT(ISERROR(SEARCH("[pluk]",G61)))</formula>
    </cfRule>
    <cfRule type="cellIs" dxfId="5478" priority="1352" operator="equal">
      <formula>"_"</formula>
    </cfRule>
  </conditionalFormatting>
  <conditionalFormatting sqref="G68:H68">
    <cfRule type="cellIs" dxfId="5477" priority="1151" operator="equal">
      <formula>"_"</formula>
    </cfRule>
  </conditionalFormatting>
  <conditionalFormatting sqref="G69:H69">
    <cfRule type="containsText" dxfId="5476" priority="380" operator="containsText" text="[pluk]">
      <formula>NOT(ISERROR(SEARCH("[pluk]",G69)))</formula>
    </cfRule>
    <cfRule type="cellIs" dxfId="5475" priority="381" operator="equal">
      <formula>"_"</formula>
    </cfRule>
    <cfRule type="containsText" dxfId="5474" priority="382" operator="containsText" text="[adv]">
      <formula>NOT(ISERROR(SEARCH("[adv]",G69)))</formula>
    </cfRule>
  </conditionalFormatting>
  <conditionalFormatting sqref="G70:H70">
    <cfRule type="containsText" dxfId="5473" priority="1149" operator="containsText" text="[pluk]">
      <formula>NOT(ISERROR(SEARCH("[pluk]",G70)))</formula>
    </cfRule>
    <cfRule type="cellIs" dxfId="5472" priority="1150" operator="equal">
      <formula>"_"</formula>
    </cfRule>
  </conditionalFormatting>
  <conditionalFormatting sqref="G73:H73">
    <cfRule type="containsText" dxfId="5471" priority="214" operator="containsText" text="[adv]">
      <formula>NOT(ISERROR(SEARCH("[adv]",G73)))</formula>
    </cfRule>
    <cfRule type="cellIs" dxfId="5470" priority="215" operator="equal">
      <formula>"_"</formula>
    </cfRule>
  </conditionalFormatting>
  <conditionalFormatting sqref="G80:H80">
    <cfRule type="cellIs" dxfId="5469" priority="7580" operator="equal">
      <formula>"_"</formula>
    </cfRule>
  </conditionalFormatting>
  <conditionalFormatting sqref="G80:H81 H84 G84:G90 H87:H89 G92:G93 G95 G98 G106 G108:G109 AE124:AJ126 AB126:AC126 AB86:AC86 F38:L38 F43:L43 Q43:X43 Q51:X51 F51:L52 F59:L59 Q59:X59 AD59:AJ59 F67:L67 Q67:X67 AD67:AJ67 F71 F75:L75 AD75:AJ75 AC117 AC119 F30:L30 F35:L35 G39:L39 AE54:AJ58 U60:X66 AE60:AJ66 G63:L66 S65:T65 S68 Q68:Q73 U68:X73 AE68:AJ74 I69:L70 S72:T72 I74:L74 AG76 AE77:AG82 F83:L83 AD83:AJ83 F91:L91 AD91:AJ91 F99:L99 AD99:AJ99 G100 F107:L107 AD107:AJ107 F115:L115 AD115:AJ115 F123:L123 AD123:AJ123 F131:L131 AD131:AJ131 F139:L139 AD139:AJ139 F147:L147 AD147:AJ147 F155:L155 AD155:AJ155 F163:L163 AD163:AJ163 F171:L171 AD171:AJ171 F179:L179 AD179:AJ179 AB103:AC103 H71:L71 G76:I76 I77:I78 G68:L68 U16:X16 G28:L28 I29:L29 G31:L31 I36:L37 I44:L44 G45:L45 U45:X46 I46:L46 G47:L47 S47:X47 I48:L48 U48:X48 G49:L49 S49:X49 I50:L50 U50:X50 G53:L55 U54:X56 I56:L58 S57:X58 Q57:Q58 S46 S37 Q54:Q55 S61:T61 G62 S63:T63 G73:H73 G74 F77:H77 T102:T106 T110:T114 T118:T122 T126:T130 T134:T138 T142:T146 T150:T154 T158:T162 T166:T170 T174:T178 T182:T186 T190:T194 T198:T202 T206:T210 T214:T218 T222:T226 T230:T234 T238:T242 T246:T250 T254:T258 T262:T266 T270:T274 T278:T282 T286:T290 T294:T298 T302:T306 T310:T314 T318:T322 T326:T330 T334:T338 T342:T346 T350:T354 T358:T362 T366:T370 T374:T378 T382:T386 T390:T394 T398:T402 T406:T410 T414:T418">
    <cfRule type="containsText" dxfId="5468" priority="8081" operator="containsText" text="[pluk]">
      <formula>NOT(ISERROR(SEARCH("[pluk]",F16)))</formula>
    </cfRule>
  </conditionalFormatting>
  <conditionalFormatting sqref="G86:H86">
    <cfRule type="containsText" dxfId="5467" priority="7566" operator="containsText" text="[adv]">
      <formula>NOT(ISERROR(SEARCH("[adv]",G86)))</formula>
    </cfRule>
  </conditionalFormatting>
  <conditionalFormatting sqref="G88:H89">
    <cfRule type="cellIs" dxfId="5466" priority="7574" operator="equal">
      <formula>"_"</formula>
    </cfRule>
  </conditionalFormatting>
  <conditionalFormatting sqref="G94:H94">
    <cfRule type="containsText" dxfId="5465" priority="7570" operator="containsText" text="[pluk]">
      <formula>NOT(ISERROR(SEARCH("[pluk]",G94)))</formula>
    </cfRule>
  </conditionalFormatting>
  <conditionalFormatting sqref="G94:H95">
    <cfRule type="cellIs" dxfId="5464" priority="7569" operator="equal">
      <formula>"_"</formula>
    </cfRule>
  </conditionalFormatting>
  <conditionalFormatting sqref="G105:H105">
    <cfRule type="containsText" dxfId="5463" priority="7509" operator="containsText" text="[pluk]">
      <formula>NOT(ISERROR(SEARCH("[pluk]",G105)))</formula>
    </cfRule>
    <cfRule type="cellIs" dxfId="5462" priority="7510" operator="equal">
      <formula>"_"</formula>
    </cfRule>
  </conditionalFormatting>
  <conditionalFormatting sqref="G110:H111">
    <cfRule type="containsText" dxfId="5461" priority="7502" operator="containsText" text="[pluk]">
      <formula>NOT(ISERROR(SEARCH("[pluk]",G110)))</formula>
    </cfRule>
    <cfRule type="cellIs" dxfId="5460" priority="7503" operator="equal">
      <formula>"_"</formula>
    </cfRule>
  </conditionalFormatting>
  <conditionalFormatting sqref="G112:H112">
    <cfRule type="cellIs" dxfId="5459" priority="7435" operator="equal">
      <formula>"_"</formula>
    </cfRule>
  </conditionalFormatting>
  <conditionalFormatting sqref="G118:H118 G125:H125 E129 I111:I113 AB189:AC189 G128:H129 AE189:AG189">
    <cfRule type="timePeriod" dxfId="5458" priority="8088" timePeriod="thisMonth">
      <formula>AND(MONTH(E111)=MONTH(TODAY()),YEAR(E111)=YEAR(TODAY()))</formula>
    </cfRule>
  </conditionalFormatting>
  <conditionalFormatting sqref="G118:H119">
    <cfRule type="cellIs" dxfId="5457" priority="7434" operator="equal">
      <formula>"_"</formula>
    </cfRule>
  </conditionalFormatting>
  <conditionalFormatting sqref="G119:H119">
    <cfRule type="containsText" dxfId="5456" priority="7433" operator="containsText" text="[pluk]">
      <formula>NOT(ISERROR(SEARCH("[pluk]",G119)))</formula>
    </cfRule>
  </conditionalFormatting>
  <conditionalFormatting sqref="G121:H121">
    <cfRule type="containsText" dxfId="5455" priority="7507" operator="containsText" text="[adv]">
      <formula>NOT(ISERROR(SEARCH("[adv]",G121)))</formula>
    </cfRule>
  </conditionalFormatting>
  <conditionalFormatting sqref="G127:H127">
    <cfRule type="containsText" dxfId="5454" priority="7429" operator="containsText" text="[pluk]">
      <formula>NOT(ISERROR(SEARCH("[pluk]",G127)))</formula>
    </cfRule>
  </conditionalFormatting>
  <conditionalFormatting sqref="G127:H128">
    <cfRule type="containsText" dxfId="5453" priority="8059" operator="containsText" text="[adv]">
      <formula>NOT(ISERROR(SEARCH("[adv]",G127)))</formula>
    </cfRule>
  </conditionalFormatting>
  <conditionalFormatting sqref="G132:H132">
    <cfRule type="cellIs" dxfId="5452" priority="7378" operator="equal">
      <formula>"_"</formula>
    </cfRule>
    <cfRule type="containsText" dxfId="5451" priority="7379" operator="containsText" text="[pluk]">
      <formula>NOT(ISERROR(SEARCH("[pluk]",G132)))</formula>
    </cfRule>
    <cfRule type="containsText" dxfId="5450" priority="7380" operator="containsText" text="[adv]">
      <formula>NOT(ISERROR(SEARCH("[adv]",G132)))</formula>
    </cfRule>
  </conditionalFormatting>
  <conditionalFormatting sqref="G133:H134">
    <cfRule type="cellIs" dxfId="5449" priority="7382" operator="equal">
      <formula>"_"</formula>
    </cfRule>
  </conditionalFormatting>
  <conditionalFormatting sqref="G134:H134">
    <cfRule type="containsText" dxfId="5448" priority="7381" operator="containsText" text="[pluk]">
      <formula>NOT(ISERROR(SEARCH("[pluk]",G134)))</formula>
    </cfRule>
  </conditionalFormatting>
  <conditionalFormatting sqref="G137:H137">
    <cfRule type="cellIs" dxfId="5447" priority="7387" operator="equal">
      <formula>"_"</formula>
    </cfRule>
  </conditionalFormatting>
  <conditionalFormatting sqref="G149:H149">
    <cfRule type="cellIs" dxfId="5446" priority="7269" operator="equal">
      <formula>"_"</formula>
    </cfRule>
  </conditionalFormatting>
  <conditionalFormatting sqref="G150:H150">
    <cfRule type="containsText" dxfId="5445" priority="7273" operator="containsText" text="[adv]">
      <formula>NOT(ISERROR(SEARCH("[adv]",G150)))</formula>
    </cfRule>
  </conditionalFormatting>
  <conditionalFormatting sqref="G151:H151">
    <cfRule type="containsText" dxfId="5444" priority="7356" operator="containsText" text="[pluk]">
      <formula>NOT(ISERROR(SEARCH("[pluk]",G151)))</formula>
    </cfRule>
    <cfRule type="cellIs" dxfId="5443" priority="7357" operator="equal">
      <formula>"_"</formula>
    </cfRule>
  </conditionalFormatting>
  <conditionalFormatting sqref="G152:H152">
    <cfRule type="containsText" dxfId="5442" priority="7354" operator="containsText" text="[pluk]">
      <formula>NOT(ISERROR(SEARCH("[pluk]",G152)))</formula>
    </cfRule>
  </conditionalFormatting>
  <conditionalFormatting sqref="G152:H153">
    <cfRule type="cellIs" dxfId="5441" priority="7237" operator="equal">
      <formula>"_"</formula>
    </cfRule>
  </conditionalFormatting>
  <conditionalFormatting sqref="G156:H157">
    <cfRule type="cellIs" dxfId="5440" priority="7231" operator="equal">
      <formula>"_"</formula>
    </cfRule>
  </conditionalFormatting>
  <conditionalFormatting sqref="G158:H158">
    <cfRule type="cellIs" dxfId="5439" priority="7250" operator="equal">
      <formula>"_"</formula>
    </cfRule>
    <cfRule type="cellIs" dxfId="5438" priority="7294" operator="equal">
      <formula>"_"</formula>
    </cfRule>
  </conditionalFormatting>
  <conditionalFormatting sqref="G159:H159">
    <cfRule type="containsText" dxfId="5437" priority="7262" operator="containsText" text="[pluk]">
      <formula>NOT(ISERROR(SEARCH("[pluk]",G159)))</formula>
    </cfRule>
    <cfRule type="cellIs" dxfId="5436" priority="7263" operator="equal">
      <formula>"_"</formula>
    </cfRule>
  </conditionalFormatting>
  <conditionalFormatting sqref="G161:H161">
    <cfRule type="containsText" dxfId="5435" priority="7246" operator="containsText" text="[adv]">
      <formula>NOT(ISERROR(SEARCH("[adv]",G161)))</formula>
    </cfRule>
  </conditionalFormatting>
  <conditionalFormatting sqref="G164:H165">
    <cfRule type="containsText" dxfId="5434" priority="7149" operator="containsText" text="[adv]">
      <formula>NOT(ISERROR(SEARCH("[adv]",G164)))</formula>
    </cfRule>
  </conditionalFormatting>
  <conditionalFormatting sqref="G165:H165">
    <cfRule type="cellIs" dxfId="5433" priority="7172" operator="equal">
      <formula>"_"</formula>
    </cfRule>
  </conditionalFormatting>
  <conditionalFormatting sqref="G166:H166">
    <cfRule type="cellIs" dxfId="5432" priority="7287" operator="equal">
      <formula>"_"</formula>
    </cfRule>
    <cfRule type="containsText" dxfId="5431" priority="7288" operator="containsText" text="[pluk]">
      <formula>NOT(ISERROR(SEARCH("[pluk]",G166)))</formula>
    </cfRule>
  </conditionalFormatting>
  <conditionalFormatting sqref="G176:H176 S5 S14:S15">
    <cfRule type="containsText" dxfId="5430" priority="7068" operator="containsText" text="[adv]">
      <formula>NOT(ISERROR(SEARCH("[adv]",G5)))</formula>
    </cfRule>
  </conditionalFormatting>
  <conditionalFormatting sqref="G176:H177">
    <cfRule type="containsText" dxfId="5429" priority="7113" operator="containsText" text="[pluk]">
      <formula>NOT(ISERROR(SEARCH("[pluk]",G176)))</formula>
    </cfRule>
  </conditionalFormatting>
  <conditionalFormatting sqref="G177:H177">
    <cfRule type="cellIs" dxfId="5428" priority="7114" operator="equal">
      <formula>"_"</formula>
    </cfRule>
  </conditionalFormatting>
  <conditionalFormatting sqref="G180:H180">
    <cfRule type="cellIs" dxfId="5427" priority="7189" operator="equal">
      <formula>"_"</formula>
    </cfRule>
    <cfRule type="containsText" dxfId="5426" priority="7191" operator="containsText" text="[adv]">
      <formula>NOT(ISERROR(SEARCH("[adv]",G180)))</formula>
    </cfRule>
  </conditionalFormatting>
  <conditionalFormatting sqref="G182:H182 G217">
    <cfRule type="notContainsBlanks" dxfId="5425" priority="7077">
      <formula>LEN(TRIM(G182))&gt;0</formula>
    </cfRule>
    <cfRule type="cellIs" dxfId="5424" priority="7078" operator="equal">
      <formula>"ID+"</formula>
    </cfRule>
    <cfRule type="cellIs" dxfId="5423" priority="7079" operator="equal">
      <formula>"HK*"</formula>
    </cfRule>
    <cfRule type="cellIs" dxfId="5422" priority="7080" operator="equal">
      <formula>"HK"</formula>
    </cfRule>
    <cfRule type="cellIs" dxfId="5421" priority="7081" operator="equal">
      <formula>"HK+"</formula>
    </cfRule>
    <cfRule type="cellIs" dxfId="5420" priority="7082" operator="equal">
      <formula>"ID"</formula>
    </cfRule>
    <cfRule type="cellIs" dxfId="5419" priority="7083" operator="equal">
      <formula>"ID*"</formula>
    </cfRule>
    <cfRule type="notContainsBlanks" dxfId="5418" priority="7085">
      <formula>LEN(TRIM(G182))&gt;0</formula>
    </cfRule>
  </conditionalFormatting>
  <conditionalFormatting sqref="G182:H182">
    <cfRule type="timePeriod" dxfId="5417" priority="7074" timePeriod="thisMonth">
      <formula>AND(MONTH(G182)=MONTH(TODAY()),YEAR(G182)=YEAR(TODAY()))</formula>
    </cfRule>
    <cfRule type="containsText" dxfId="5416" priority="7086" operator="containsText" text="[adv]">
      <formula>NOT(ISERROR(SEARCH("[adv]",G182)))</formula>
    </cfRule>
    <cfRule type="cellIs" dxfId="5415" priority="7087" operator="equal">
      <formula>"_"</formula>
    </cfRule>
  </conditionalFormatting>
  <conditionalFormatting sqref="G183:H183">
    <cfRule type="cellIs" dxfId="5414" priority="7253" operator="equal">
      <formula>"_"</formula>
    </cfRule>
  </conditionalFormatting>
  <conditionalFormatting sqref="G192:H192">
    <cfRule type="containsText" dxfId="5413" priority="6960" operator="containsText" text="[adv]">
      <formula>NOT(ISERROR(SEARCH("[adv]",G192)))</formula>
    </cfRule>
  </conditionalFormatting>
  <conditionalFormatting sqref="G193:H193">
    <cfRule type="containsText" dxfId="5412" priority="6958" operator="containsText" text="[adv]">
      <formula>NOT(ISERROR(SEARCH("[adv]",G193)))</formula>
    </cfRule>
  </conditionalFormatting>
  <conditionalFormatting sqref="G198:H198">
    <cfRule type="containsText" dxfId="5411" priority="6892" operator="containsText" text="[pluk]">
      <formula>NOT(ISERROR(SEARCH("[pluk]",G198)))</formula>
    </cfRule>
    <cfRule type="cellIs" dxfId="5410" priority="6893" operator="equal">
      <formula>"_"</formula>
    </cfRule>
  </conditionalFormatting>
  <conditionalFormatting sqref="G200:H200">
    <cfRule type="containsText" dxfId="5409" priority="6866" operator="containsText" text="[adv]">
      <formula>NOT(ISERROR(SEARCH("[adv]",G200)))</formula>
    </cfRule>
  </conditionalFormatting>
  <conditionalFormatting sqref="G200:H201">
    <cfRule type="cellIs" dxfId="5408" priority="6792" operator="equal">
      <formula>"_"</formula>
    </cfRule>
  </conditionalFormatting>
  <conditionalFormatting sqref="G201:H201">
    <cfRule type="containsText" dxfId="5407" priority="6791" operator="containsText" text="[pluk]">
      <formula>NOT(ISERROR(SEARCH("[pluk]",G201)))</formula>
    </cfRule>
  </conditionalFormatting>
  <conditionalFormatting sqref="G229:H229">
    <cfRule type="cellIs" dxfId="5406" priority="6964" operator="equal">
      <formula>"_"</formula>
    </cfRule>
  </conditionalFormatting>
  <conditionalFormatting sqref="G261:H261">
    <cfRule type="cellIs" dxfId="5405" priority="6648" operator="equal">
      <formula>"_"</formula>
    </cfRule>
    <cfRule type="containsText" dxfId="5404" priority="6649" operator="containsText" text="[adv]">
      <formula>NOT(ISERROR(SEARCH("[adv]",G261)))</formula>
    </cfRule>
  </conditionalFormatting>
  <conditionalFormatting sqref="G263:H263">
    <cfRule type="containsText" dxfId="5403" priority="6468" operator="containsText" text="[pluk]">
      <formula>NOT(ISERROR(SEARCH("[pluk]",G263)))</formula>
    </cfRule>
  </conditionalFormatting>
  <conditionalFormatting sqref="G265:H265">
    <cfRule type="containsText" dxfId="5402" priority="6569" operator="containsText" text="[pluk]">
      <formula>NOT(ISERROR(SEARCH("[pluk]",G265)))</formula>
    </cfRule>
  </conditionalFormatting>
  <conditionalFormatting sqref="G276:H276">
    <cfRule type="cellIs" dxfId="5401" priority="6394" operator="equal">
      <formula>"_"</formula>
    </cfRule>
    <cfRule type="containsText" dxfId="5400" priority="6395" operator="containsText" text="[adv]">
      <formula>NOT(ISERROR(SEARCH("[adv]",G276)))</formula>
    </cfRule>
  </conditionalFormatting>
  <conditionalFormatting sqref="G280:H280">
    <cfRule type="cellIs" dxfId="5399" priority="6504" operator="equal">
      <formula>"_"</formula>
    </cfRule>
    <cfRule type="containsText" dxfId="5398" priority="6505" operator="containsText" text="[adv]">
      <formula>NOT(ISERROR(SEARCH("[adv]",G280)))</formula>
    </cfRule>
    <cfRule type="containsText" dxfId="5397" priority="6506" operator="containsText" text="[pluk]">
      <formula>NOT(ISERROR(SEARCH("[pluk]",G280)))</formula>
    </cfRule>
  </conditionalFormatting>
  <conditionalFormatting sqref="G285:H285">
    <cfRule type="cellIs" dxfId="5396" priority="6398" operator="equal">
      <formula>"_"</formula>
    </cfRule>
    <cfRule type="containsText" dxfId="5395" priority="6399" operator="containsText" text="[adv]">
      <formula>NOT(ISERROR(SEARCH("[adv]",G285)))</formula>
    </cfRule>
    <cfRule type="containsText" dxfId="5394" priority="6400" operator="containsText" text="[pluk]">
      <formula>NOT(ISERROR(SEARCH("[pluk]",G285)))</formula>
    </cfRule>
  </conditionalFormatting>
  <conditionalFormatting sqref="G286:H286">
    <cfRule type="containsText" dxfId="5393" priority="6355" operator="containsText" text="[pluk]">
      <formula>NOT(ISERROR(SEARCH("[pluk]",G286)))</formula>
    </cfRule>
    <cfRule type="cellIs" dxfId="5392" priority="6356" operator="equal">
      <formula>"_"</formula>
    </cfRule>
  </conditionalFormatting>
  <conditionalFormatting sqref="G288:H288">
    <cfRule type="containsText" dxfId="5391" priority="6507" operator="containsText" text="[pluk]">
      <formula>NOT(ISERROR(SEARCH("[pluk]",G288)))</formula>
    </cfRule>
  </conditionalFormatting>
  <conditionalFormatting sqref="G300:H300">
    <cfRule type="cellIs" dxfId="5390" priority="6309" operator="equal">
      <formula>"_"</formula>
    </cfRule>
    <cfRule type="containsText" dxfId="5389" priority="6310" operator="containsText" text="[adv]">
      <formula>NOT(ISERROR(SEARCH("[adv]",G300)))</formula>
    </cfRule>
  </conditionalFormatting>
  <conditionalFormatting sqref="G300:H302">
    <cfRule type="containsText" dxfId="5388" priority="6311" operator="containsText" text="[pluk]">
      <formula>NOT(ISERROR(SEARCH("[pluk]",G300)))</formula>
    </cfRule>
  </conditionalFormatting>
  <conditionalFormatting sqref="G324:H324">
    <cfRule type="containsText" dxfId="5387" priority="6216" operator="containsText" text="[pluk]">
      <formula>NOT(ISERROR(SEARCH("[pluk]",G324)))</formula>
    </cfRule>
    <cfRule type="cellIs" dxfId="5386" priority="6217" operator="equal">
      <formula>"_"</formula>
    </cfRule>
    <cfRule type="containsText" dxfId="5385" priority="6218" operator="containsText" text="[pluk]">
      <formula>NOT(ISERROR(SEARCH("[pluk]",G324)))</formula>
    </cfRule>
    <cfRule type="cellIs" dxfId="5384" priority="6219" operator="equal">
      <formula>"_"</formula>
    </cfRule>
    <cfRule type="containsText" dxfId="5383" priority="6220" operator="containsText" text="[adv]">
      <formula>NOT(ISERROR(SEARCH("[adv]",G324)))</formula>
    </cfRule>
  </conditionalFormatting>
  <conditionalFormatting sqref="G328:H328">
    <cfRule type="containsText" dxfId="5382" priority="6241" operator="containsText" text="[pluk]">
      <formula>NOT(ISERROR(SEARCH("[pluk]",G328)))</formula>
    </cfRule>
  </conditionalFormatting>
  <conditionalFormatting sqref="G329:H329">
    <cfRule type="containsText" dxfId="5381" priority="6221" operator="containsText" text="[pluk]">
      <formula>NOT(ISERROR(SEARCH("[pluk]",G329)))</formula>
    </cfRule>
    <cfRule type="cellIs" dxfId="5380" priority="6222" operator="equal">
      <formula>"_"</formula>
    </cfRule>
  </conditionalFormatting>
  <conditionalFormatting sqref="G333:H333">
    <cfRule type="cellIs" dxfId="5379" priority="6252" operator="equal">
      <formula>"_"</formula>
    </cfRule>
    <cfRule type="containsText" dxfId="5378" priority="6253" operator="containsText" text="[adv]">
      <formula>NOT(ISERROR(SEARCH("[adv]",G333)))</formula>
    </cfRule>
    <cfRule type="containsText" dxfId="5377" priority="6254" operator="containsText" text="[pluk]">
      <formula>NOT(ISERROR(SEARCH("[pluk]",G333)))</formula>
    </cfRule>
    <cfRule type="containsText" dxfId="5376" priority="6270" operator="containsText" text="[pluk]">
      <formula>NOT(ISERROR(SEARCH("[pluk]",G333)))</formula>
    </cfRule>
  </conditionalFormatting>
  <conditionalFormatting sqref="G337:H337">
    <cfRule type="containsText" dxfId="5375" priority="6238" operator="containsText" text="[pluk]">
      <formula>NOT(ISERROR(SEARCH("[pluk]",G337)))</formula>
    </cfRule>
  </conditionalFormatting>
  <conditionalFormatting sqref="G352:H352">
    <cfRule type="containsText" dxfId="5374" priority="6187" operator="containsText" text="[pluk]">
      <formula>NOT(ISERROR(SEARCH("[pluk]",G352)))</formula>
    </cfRule>
  </conditionalFormatting>
  <conditionalFormatting sqref="G365:H365">
    <cfRule type="containsText" dxfId="5373" priority="6148" operator="containsText" text="[pluk]">
      <formula>NOT(ISERROR(SEARCH("[pluk]",G365)))</formula>
    </cfRule>
  </conditionalFormatting>
  <conditionalFormatting sqref="G365:H366">
    <cfRule type="containsText" dxfId="5372" priority="6153" operator="containsText" text="[pluk]">
      <formula>NOT(ISERROR(SEARCH("[pluk]",G365)))</formula>
    </cfRule>
    <cfRule type="cellIs" dxfId="5371" priority="6154" operator="equal">
      <formula>"_"</formula>
    </cfRule>
  </conditionalFormatting>
  <conditionalFormatting sqref="G375:H377">
    <cfRule type="containsText" dxfId="5370" priority="6128" operator="containsText" text="[pluk]">
      <formula>NOT(ISERROR(SEARCH("[pluk]",G375)))</formula>
    </cfRule>
    <cfRule type="cellIs" dxfId="5369" priority="6129" operator="equal">
      <formula>"_"</formula>
    </cfRule>
  </conditionalFormatting>
  <conditionalFormatting sqref="G376:H376">
    <cfRule type="containsText" dxfId="5368" priority="6126" operator="containsText" text="[pluk]">
      <formula>NOT(ISERROR(SEARCH("[pluk]",G376)))</formula>
    </cfRule>
    <cfRule type="cellIs" dxfId="5367" priority="6127" operator="equal">
      <formula>"_"</formula>
    </cfRule>
  </conditionalFormatting>
  <conditionalFormatting sqref="G377:H377">
    <cfRule type="containsText" dxfId="5366" priority="6131" operator="containsText" text="[pluk]">
      <formula>NOT(ISERROR(SEARCH("[pluk]",G377)))</formula>
    </cfRule>
    <cfRule type="cellIs" dxfId="5365" priority="6132" operator="equal">
      <formula>"_"</formula>
    </cfRule>
  </conditionalFormatting>
  <conditionalFormatting sqref="G380:H380">
    <cfRule type="containsText" dxfId="5364" priority="6117" operator="containsText" text="[pluk]">
      <formula>NOT(ISERROR(SEARCH("[pluk]",G380)))</formula>
    </cfRule>
    <cfRule type="cellIs" dxfId="5363" priority="6118" operator="equal">
      <formula>"_"</formula>
    </cfRule>
    <cfRule type="containsText" dxfId="5362" priority="6119" operator="containsText" text="[pluk]">
      <formula>NOT(ISERROR(SEARCH("[pluk]",G380)))</formula>
    </cfRule>
    <cfRule type="cellIs" dxfId="5361" priority="6120" operator="equal">
      <formula>"_"</formula>
    </cfRule>
    <cfRule type="containsText" dxfId="5360" priority="6121" operator="containsText" text="[pluk]">
      <formula>NOT(ISERROR(SEARCH("[pluk]",G380)))</formula>
    </cfRule>
    <cfRule type="cellIs" dxfId="5359" priority="6122" operator="equal">
      <formula>"_"</formula>
    </cfRule>
    <cfRule type="containsText" dxfId="5358" priority="6133" operator="containsText" text="[pluk]">
      <formula>NOT(ISERROR(SEARCH("[pluk]",G380)))</formula>
    </cfRule>
    <cfRule type="cellIs" dxfId="5357" priority="6134" operator="equal">
      <formula>"_"</formula>
    </cfRule>
    <cfRule type="containsText" dxfId="5356" priority="6146" operator="containsText" text="[pluk]">
      <formula>NOT(ISERROR(SEARCH("[pluk]",G380)))</formula>
    </cfRule>
    <cfRule type="cellIs" dxfId="5355" priority="6147" operator="equal">
      <formula>"_"</formula>
    </cfRule>
  </conditionalFormatting>
  <conditionalFormatting sqref="G391:H391">
    <cfRule type="containsText" dxfId="5354" priority="6056" operator="containsText" text="[pluk]">
      <formula>NOT(ISERROR(SEARCH("[pluk]",G391)))</formula>
    </cfRule>
    <cfRule type="cellIs" dxfId="5353" priority="6057" operator="equal">
      <formula>"_"</formula>
    </cfRule>
  </conditionalFormatting>
  <conditionalFormatting sqref="G76:I76 I77:I78">
    <cfRule type="cellIs" dxfId="5352" priority="7585" operator="equal">
      <formula>"_"</formula>
    </cfRule>
  </conditionalFormatting>
  <conditionalFormatting sqref="G112:L112">
    <cfRule type="containsText" dxfId="5351" priority="7437" operator="containsText" text="[pluk]">
      <formula>NOT(ISERROR(SEARCH("[pluk]",G112)))</formula>
    </cfRule>
  </conditionalFormatting>
  <conditionalFormatting sqref="G138:L138 G140:L142">
    <cfRule type="cellIs" dxfId="5350" priority="7350" operator="equal">
      <formula>"_"</formula>
    </cfRule>
    <cfRule type="containsText" dxfId="5349" priority="7352" operator="containsText" text="[pluk]">
      <formula>NOT(ISERROR(SEARCH("[pluk]",G138)))</formula>
    </cfRule>
  </conditionalFormatting>
  <conditionalFormatting sqref="G162:L162 G164:L164">
    <cfRule type="containsText" dxfId="5348" priority="7147" operator="containsText" text="[pluk]">
      <formula>NOT(ISERROR(SEARCH("[pluk]",G162)))</formula>
    </cfRule>
  </conditionalFormatting>
  <conditionalFormatting sqref="G164:L164">
    <cfRule type="cellIs" dxfId="5347" priority="7148" operator="equal">
      <formula>"_"</formula>
    </cfRule>
  </conditionalFormatting>
  <conditionalFormatting sqref="G181:L181">
    <cfRule type="cellIs" dxfId="5346" priority="7118" operator="equal">
      <formula>"_"</formula>
    </cfRule>
  </conditionalFormatting>
  <conditionalFormatting sqref="G260:L260">
    <cfRule type="cellIs" dxfId="5345" priority="6646" operator="equal">
      <formula>"_"</formula>
    </cfRule>
  </conditionalFormatting>
  <conditionalFormatting sqref="G271:L274 H333:L338 G340:L346 G380:L383 H376:L378 I261:L266 I268:L270 I277:L277 I324:L325 I332:L332 H356:L360 I361:L361 I372:L375">
    <cfRule type="containsText" dxfId="5344" priority="6595" operator="containsText" text="[pluk]">
      <formula>NOT(ISERROR(SEARCH("[pluk]",G261)))</formula>
    </cfRule>
  </conditionalFormatting>
  <conditionalFormatting sqref="G276:L276">
    <cfRule type="containsText" dxfId="5343" priority="6396" operator="containsText" text="[pluk]">
      <formula>NOT(ISERROR(SEARCH("[pluk]",G276)))</formula>
    </cfRule>
  </conditionalFormatting>
  <conditionalFormatting sqref="G300:L300">
    <cfRule type="containsText" dxfId="5342" priority="6383" operator="containsText" text="[pluk]">
      <formula>NOT(ISERROR(SEARCH("[pluk]",G300)))</formula>
    </cfRule>
  </conditionalFormatting>
  <conditionalFormatting sqref="G310:L310">
    <cfRule type="containsText" dxfId="5341" priority="6314" operator="containsText" text="[pluk]">
      <formula>NOT(ISERROR(SEARCH("[pluk]",G310)))</formula>
    </cfRule>
  </conditionalFormatting>
  <conditionalFormatting sqref="G329:L330">
    <cfRule type="containsText" dxfId="5340" priority="6223" operator="containsText" text="[pluk]">
      <formula>NOT(ISERROR(SEARCH("[pluk]",G329)))</formula>
    </cfRule>
  </conditionalFormatting>
  <conditionalFormatting sqref="G384:L384">
    <cfRule type="containsText" dxfId="5339" priority="6115" operator="containsText" text="[pluk]">
      <formula>NOT(ISERROR(SEARCH("[pluk]",G384)))</formula>
    </cfRule>
  </conditionalFormatting>
  <conditionalFormatting sqref="G412:L418 C419:L419">
    <cfRule type="containsText" dxfId="5338" priority="6053" operator="containsText" text="[pluk]">
      <formula>NOT(ISERROR(SEARCH("[pluk]",C412)))</formula>
    </cfRule>
  </conditionalFormatting>
  <conditionalFormatting sqref="H13">
    <cfRule type="containsText" dxfId="5337" priority="5103" operator="containsText" text="[adv]">
      <formula>NOT(ISERROR(SEARCH("[adv]",H13)))</formula>
    </cfRule>
    <cfRule type="containsText" dxfId="5336" priority="5104" operator="containsText" text="[pluk]">
      <formula>NOT(ISERROR(SEARCH("[pluk]",H13)))</formula>
    </cfRule>
    <cfRule type="cellIs" dxfId="5335" priority="5105" operator="equal">
      <formula>"_"</formula>
    </cfRule>
  </conditionalFormatting>
  <conditionalFormatting sqref="H14:H15">
    <cfRule type="containsText" dxfId="5334" priority="7949" operator="containsText" text="[adv]">
      <formula>NOT(ISERROR(SEARCH("[adv]",H14)))</formula>
    </cfRule>
    <cfRule type="containsText" dxfId="5333" priority="7950" operator="containsText" text="[pluk]">
      <formula>NOT(ISERROR(SEARCH("[pluk]",H14)))</formula>
    </cfRule>
    <cfRule type="cellIs" dxfId="5332" priority="7951" operator="equal">
      <formula>"_"</formula>
    </cfRule>
  </conditionalFormatting>
  <conditionalFormatting sqref="H22:H23">
    <cfRule type="containsText" dxfId="5331" priority="7774" operator="containsText" text="[adv]">
      <formula>NOT(ISERROR(SEARCH("[adv]",H22)))</formula>
    </cfRule>
    <cfRule type="containsText" dxfId="5330" priority="7775" operator="containsText" text="[pluk]">
      <formula>NOT(ISERROR(SEARCH("[pluk]",H22)))</formula>
    </cfRule>
    <cfRule type="cellIs" dxfId="5329" priority="7776" operator="equal">
      <formula>"_"</formula>
    </cfRule>
  </conditionalFormatting>
  <conditionalFormatting sqref="H31">
    <cfRule type="containsText" dxfId="5328" priority="1487" operator="containsText" text="[adv]">
      <formula>NOT(ISERROR(SEARCH("[adv]",H31)))</formula>
    </cfRule>
    <cfRule type="containsText" dxfId="5327" priority="1488" operator="containsText" text="[pluk]">
      <formula>NOT(ISERROR(SEARCH("[pluk]",H31)))</formula>
    </cfRule>
    <cfRule type="cellIs" dxfId="5326" priority="1489" operator="equal">
      <formula>"_"</formula>
    </cfRule>
  </conditionalFormatting>
  <conditionalFormatting sqref="H39">
    <cfRule type="containsText" dxfId="5325" priority="1485" operator="containsText" text="[pluk]">
      <formula>NOT(ISERROR(SEARCH("[pluk]",H39)))</formula>
    </cfRule>
    <cfRule type="containsText" dxfId="5324" priority="1486" operator="containsText" text="[pluk]">
      <formula>NOT(ISERROR(SEARCH("[pluk]",H39)))</formula>
    </cfRule>
    <cfRule type="containsText" dxfId="5323" priority="7768" operator="containsText" text="[adv]">
      <formula>NOT(ISERROR(SEARCH("[adv]",H39)))</formula>
    </cfRule>
    <cfRule type="containsText" dxfId="5322" priority="7769" operator="containsText" text="[pluk]">
      <formula>NOT(ISERROR(SEARCH("[pluk]",H39)))</formula>
    </cfRule>
    <cfRule type="cellIs" dxfId="5321" priority="7770" operator="equal">
      <formula>"_"</formula>
    </cfRule>
  </conditionalFormatting>
  <conditionalFormatting sqref="H55">
    <cfRule type="containsText" dxfId="5320" priority="5109" operator="containsText" text="[adv]">
      <formula>NOT(ISERROR(SEARCH("[adv]",H55)))</formula>
    </cfRule>
    <cfRule type="containsText" dxfId="5319" priority="5110" operator="containsText" text="[pluk]">
      <formula>NOT(ISERROR(SEARCH("[pluk]",H55)))</formula>
    </cfRule>
    <cfRule type="cellIs" dxfId="5318" priority="5111" operator="equal">
      <formula>"_"</formula>
    </cfRule>
  </conditionalFormatting>
  <conditionalFormatting sqref="H63">
    <cfRule type="containsText" dxfId="5317" priority="5106" operator="containsText" text="[adv]">
      <formula>NOT(ISERROR(SEARCH("[adv]",H63)))</formula>
    </cfRule>
    <cfRule type="containsText" dxfId="5316" priority="5107" operator="containsText" text="[pluk]">
      <formula>NOT(ISERROR(SEARCH("[pluk]",H63)))</formula>
    </cfRule>
    <cfRule type="cellIs" dxfId="5315" priority="5108" operator="equal">
      <formula>"_"</formula>
    </cfRule>
  </conditionalFormatting>
  <conditionalFormatting sqref="H64">
    <cfRule type="containsText" dxfId="5314" priority="383" operator="containsText" text="[pluk]">
      <formula>NOT(ISERROR(SEARCH("[pluk]",H64)))</formula>
    </cfRule>
    <cfRule type="cellIs" dxfId="5313" priority="384" operator="equal">
      <formula>"_"</formula>
    </cfRule>
  </conditionalFormatting>
  <conditionalFormatting sqref="H65">
    <cfRule type="containsText" dxfId="5312" priority="1190" operator="containsText" text="[pluk]">
      <formula>NOT(ISERROR(SEARCH("[pluk]",H65)))</formula>
    </cfRule>
    <cfRule type="cellIs" dxfId="5311" priority="1191" operator="equal">
      <formula>"_"</formula>
    </cfRule>
  </conditionalFormatting>
  <conditionalFormatting sqref="H66">
    <cfRule type="containsText" dxfId="5310" priority="1192" operator="containsText" text="[pluk]">
      <formula>NOT(ISERROR(SEARCH("[pluk]",H66)))</formula>
    </cfRule>
    <cfRule type="cellIs" dxfId="5309" priority="1193" operator="equal">
      <formula>"_"</formula>
    </cfRule>
  </conditionalFormatting>
  <conditionalFormatting sqref="H71">
    <cfRule type="containsText" dxfId="5308" priority="5098" operator="containsText" text="[adv]">
      <formula>NOT(ISERROR(SEARCH("[adv]",H71)))</formula>
    </cfRule>
    <cfRule type="containsText" dxfId="5307" priority="5099" operator="containsText" text="[pluk]">
      <formula>NOT(ISERROR(SEARCH("[pluk]",H71)))</formula>
    </cfRule>
    <cfRule type="cellIs" dxfId="5306" priority="5100" operator="equal">
      <formula>"_"</formula>
    </cfRule>
  </conditionalFormatting>
  <conditionalFormatting sqref="H72">
    <cfRule type="containsText" dxfId="5305" priority="7589" operator="containsText" text="[adv]">
      <formula>NOT(ISERROR(SEARCH("[adv]",H72)))</formula>
    </cfRule>
    <cfRule type="containsText" dxfId="5304" priority="7590" operator="containsText" text="[pluk]">
      <formula>NOT(ISERROR(SEARCH("[pluk]",H72)))</formula>
    </cfRule>
    <cfRule type="cellIs" dxfId="5303" priority="7591" operator="equal">
      <formula>"_"</formula>
    </cfRule>
  </conditionalFormatting>
  <conditionalFormatting sqref="H73">
    <cfRule type="containsText" dxfId="5302" priority="194" operator="containsText" text="[pluk]">
      <formula>NOT(ISERROR(SEARCH("[pluk]",H73)))</formula>
    </cfRule>
    <cfRule type="cellIs" dxfId="5301" priority="195" operator="equal">
      <formula>"_"</formula>
    </cfRule>
    <cfRule type="containsText" dxfId="5300" priority="196" operator="containsText" text="[pluk]">
      <formula>NOT(ISERROR(SEARCH("[pluk]",H73)))</formula>
    </cfRule>
    <cfRule type="cellIs" dxfId="5299" priority="197" operator="equal">
      <formula>"_"</formula>
    </cfRule>
    <cfRule type="containsText" dxfId="5298" priority="198" operator="containsText" text="[pluk]">
      <formula>NOT(ISERROR(SEARCH("[pluk]",H73)))</formula>
    </cfRule>
    <cfRule type="cellIs" dxfId="5297" priority="199" operator="equal">
      <formula>"_"</formula>
    </cfRule>
  </conditionalFormatting>
  <conditionalFormatting sqref="H76">
    <cfRule type="cellIs" dxfId="5296" priority="364" operator="equal">
      <formula>"_"</formula>
    </cfRule>
    <cfRule type="containsText" dxfId="5295" priority="365" operator="containsText" text="[adv]">
      <formula>NOT(ISERROR(SEARCH("[adv]",H76)))</formula>
    </cfRule>
  </conditionalFormatting>
  <conditionalFormatting sqref="H80">
    <cfRule type="containsText" dxfId="5294" priority="7579" operator="containsText" text="[pluk]">
      <formula>NOT(ISERROR(SEARCH("[pluk]",H80)))</formula>
    </cfRule>
  </conditionalFormatting>
  <conditionalFormatting sqref="H82">
    <cfRule type="containsText" dxfId="5293" priority="173" operator="containsText" text="[adv]">
      <formula>NOT(ISERROR(SEARCH("[adv]",H82)))</formula>
    </cfRule>
    <cfRule type="containsText" dxfId="5292" priority="174" operator="containsText" text="[pluk]">
      <formula>NOT(ISERROR(SEARCH("[pluk]",H82)))</formula>
    </cfRule>
    <cfRule type="cellIs" dxfId="5291" priority="175" operator="equal">
      <formula>"_"</formula>
    </cfRule>
  </conditionalFormatting>
  <conditionalFormatting sqref="H84">
    <cfRule type="cellIs" dxfId="5290" priority="361" operator="equal">
      <formula>"_"</formula>
    </cfRule>
    <cfRule type="containsText" dxfId="5289" priority="362" operator="containsText" text="[adv]">
      <formula>NOT(ISERROR(SEARCH("[adv]",H84)))</formula>
    </cfRule>
    <cfRule type="cellIs" dxfId="5288" priority="363" operator="equal">
      <formula>"_"</formula>
    </cfRule>
  </conditionalFormatting>
  <conditionalFormatting sqref="H86">
    <cfRule type="containsText" dxfId="5287" priority="7564" operator="containsText" text="[adv]">
      <formula>NOT(ISERROR(SEARCH("[adv]",H86)))</formula>
    </cfRule>
    <cfRule type="containsText" dxfId="5286" priority="7567" operator="containsText" text="[pluk]">
      <formula>NOT(ISERROR(SEARCH("[pluk]",H86)))</formula>
    </cfRule>
  </conditionalFormatting>
  <conditionalFormatting sqref="H86:H87">
    <cfRule type="cellIs" dxfId="5285" priority="7568" operator="equal">
      <formula>"_"</formula>
    </cfRule>
  </conditionalFormatting>
  <conditionalFormatting sqref="H87">
    <cfRule type="cellIs" dxfId="5284" priority="216" operator="equal">
      <formula>"_"</formula>
    </cfRule>
    <cfRule type="containsText" dxfId="5283" priority="217" operator="containsText" text="[adv]">
      <formula>NOT(ISERROR(SEARCH("[adv]",H87)))</formula>
    </cfRule>
    <cfRule type="cellIs" dxfId="5282" priority="218" operator="equal">
      <formula>"_"</formula>
    </cfRule>
    <cfRule type="cellIs" dxfId="5281" priority="219" operator="equal">
      <formula>"_"</formula>
    </cfRule>
    <cfRule type="containsText" dxfId="5280" priority="220" operator="containsText" text="[adv]">
      <formula>NOT(ISERROR(SEARCH("[adv]",H87)))</formula>
    </cfRule>
    <cfRule type="containsText" dxfId="5279" priority="221" operator="containsText" text="[pluk]">
      <formula>NOT(ISERROR(SEARCH("[pluk]",H87)))</formula>
    </cfRule>
    <cfRule type="cellIs" dxfId="5278" priority="222" operator="equal">
      <formula>"_"</formula>
    </cfRule>
    <cfRule type="containsText" dxfId="5277" priority="7584" operator="containsText" text="[adv]">
      <formula>NOT(ISERROR(SEARCH("[adv]",H87)))</formula>
    </cfRule>
  </conditionalFormatting>
  <conditionalFormatting sqref="H92">
    <cfRule type="cellIs" dxfId="5276" priority="355" operator="equal">
      <formula>"_"</formula>
    </cfRule>
    <cfRule type="containsText" dxfId="5275" priority="356" operator="containsText" text="[adv]">
      <formula>NOT(ISERROR(SEARCH("[adv]",H92)))</formula>
    </cfRule>
    <cfRule type="cellIs" dxfId="5274" priority="357" operator="equal">
      <formula>"_"</formula>
    </cfRule>
    <cfRule type="containsText" dxfId="5273" priority="358" operator="containsText" text="[pluk]">
      <formula>NOT(ISERROR(SEARCH("[pluk]",H92)))</formula>
    </cfRule>
    <cfRule type="cellIs" dxfId="5272" priority="359" operator="equal">
      <formula>"_"</formula>
    </cfRule>
    <cfRule type="containsText" dxfId="5271" priority="360" operator="containsText" text="[adv]">
      <formula>NOT(ISERROR(SEARCH("[adv]",H92)))</formula>
    </cfRule>
  </conditionalFormatting>
  <conditionalFormatting sqref="H95 U74:X74 Q75:X75 Q83:X83 U84:X90 Q91:X91 U92:X98 Q99:X99 Q107:X107 Q123:X123 Q139:X139 Q155:X155 Q171:X171 Q187:X187 Q203:X203 Q219:X219 Q235:X235 Q251:X251 Q267:X267 Q283:X283 Q299:X299 Q315:X315 Q331:X331 Q347:X347 Q363:X363 Q379:X379 Q395:X395 Q411:X411 Q74 Q84:Q90 S89:T90 Q92:Q98 Q100">
    <cfRule type="containsText" dxfId="5270" priority="7639" operator="containsText" text="[pluk]">
      <formula>NOT(ISERROR(SEARCH("[pluk]",H74)))</formula>
    </cfRule>
  </conditionalFormatting>
  <conditionalFormatting sqref="H95">
    <cfRule type="containsText" dxfId="5269" priority="7592" operator="containsText" text="[adv]">
      <formula>NOT(ISERROR(SEARCH("[adv]",H95)))</formula>
    </cfRule>
  </conditionalFormatting>
  <conditionalFormatting sqref="H100">
    <cfRule type="cellIs" dxfId="5268" priority="348" operator="equal">
      <formula>"_"</formula>
    </cfRule>
    <cfRule type="containsText" dxfId="5267" priority="349" operator="containsText" text="[adv]">
      <formula>NOT(ISERROR(SEARCH("[adv]",H100)))</formula>
    </cfRule>
    <cfRule type="cellIs" dxfId="5266" priority="350" operator="equal">
      <formula>"_"</formula>
    </cfRule>
    <cfRule type="containsText" dxfId="5265" priority="351" operator="containsText" text="[pluk]">
      <formula>NOT(ISERROR(SEARCH("[pluk]",H100)))</formula>
    </cfRule>
    <cfRule type="cellIs" dxfId="5264" priority="352" operator="equal">
      <formula>"_"</formula>
    </cfRule>
    <cfRule type="containsText" dxfId="5263" priority="353" operator="containsText" text="[adv]">
      <formula>NOT(ISERROR(SEARCH("[adv]",H100)))</formula>
    </cfRule>
    <cfRule type="containsText" dxfId="5262" priority="354" operator="containsText" text="[adv]">
      <formula>NOT(ISERROR(SEARCH("[adv]",H100)))</formula>
    </cfRule>
  </conditionalFormatting>
  <conditionalFormatting sqref="H103:H104">
    <cfRule type="cellIs" dxfId="5261" priority="7575" operator="equal">
      <formula>"_"</formula>
    </cfRule>
    <cfRule type="containsText" dxfId="5260" priority="7576" operator="containsText" text="[adv]">
      <formula>NOT(ISERROR(SEARCH("[adv]",H103)))</formula>
    </cfRule>
    <cfRule type="containsText" dxfId="5259" priority="7577" operator="containsText" text="[pluk]">
      <formula>NOT(ISERROR(SEARCH("[pluk]",H103)))</formula>
    </cfRule>
  </conditionalFormatting>
  <conditionalFormatting sqref="H105">
    <cfRule type="containsText" dxfId="5258" priority="7508" operator="containsText" text="[adv]">
      <formula>NOT(ISERROR(SEARCH("[adv]",H105)))</formula>
    </cfRule>
  </conditionalFormatting>
  <conditionalFormatting sqref="H108">
    <cfRule type="cellIs" dxfId="5257" priority="341" operator="equal">
      <formula>"_"</formula>
    </cfRule>
    <cfRule type="containsText" dxfId="5256" priority="342" operator="containsText" text="[adv]">
      <formula>NOT(ISERROR(SEARCH("[adv]",H108)))</formula>
    </cfRule>
    <cfRule type="cellIs" dxfId="5255" priority="343" operator="equal">
      <formula>"_"</formula>
    </cfRule>
    <cfRule type="containsText" dxfId="5254" priority="344" operator="containsText" text="[pluk]">
      <formula>NOT(ISERROR(SEARCH("[pluk]",H108)))</formula>
    </cfRule>
    <cfRule type="cellIs" dxfId="5253" priority="345" operator="equal">
      <formula>"_"</formula>
    </cfRule>
    <cfRule type="containsText" dxfId="5252" priority="346" operator="containsText" text="[adv]">
      <formula>NOT(ISERROR(SEARCH("[adv]",H108)))</formula>
    </cfRule>
    <cfRule type="containsText" dxfId="5251" priority="347" operator="containsText" text="[adv]">
      <formula>NOT(ISERROR(SEARCH("[adv]",H108)))</formula>
    </cfRule>
  </conditionalFormatting>
  <conditionalFormatting sqref="H108:H109">
    <cfRule type="containsText" dxfId="5250" priority="7497" operator="containsText" text="[pluk]">
      <formula>NOT(ISERROR(SEARCH("[pluk]",H108)))</formula>
    </cfRule>
    <cfRule type="cellIs" dxfId="5249" priority="7498" operator="equal">
      <formula>"_"</formula>
    </cfRule>
  </conditionalFormatting>
  <conditionalFormatting sqref="H109">
    <cfRule type="containsText" dxfId="5248" priority="7492" operator="containsText" text="[pluk]">
      <formula>NOT(ISERROR(SEARCH("[pluk]",H109)))</formula>
    </cfRule>
    <cfRule type="cellIs" dxfId="5247" priority="7493" operator="equal">
      <formula>"_"</formula>
    </cfRule>
  </conditionalFormatting>
  <conditionalFormatting sqref="H110:H112">
    <cfRule type="containsText" dxfId="5246" priority="7436" operator="containsText" text="[adv]">
      <formula>NOT(ISERROR(SEARCH("[adv]",H110)))</formula>
    </cfRule>
  </conditionalFormatting>
  <conditionalFormatting sqref="H116">
    <cfRule type="cellIs" dxfId="5245" priority="328" operator="equal">
      <formula>"_"</formula>
    </cfRule>
    <cfRule type="containsText" dxfId="5244" priority="329" operator="containsText" text="[adv]">
      <formula>NOT(ISERROR(SEARCH("[adv]",H116)))</formula>
    </cfRule>
    <cfRule type="cellIs" dxfId="5243" priority="330" operator="equal">
      <formula>"_"</formula>
    </cfRule>
    <cfRule type="containsText" dxfId="5242" priority="331" operator="containsText" text="[pluk]">
      <formula>NOT(ISERROR(SEARCH("[pluk]",H116)))</formula>
    </cfRule>
    <cfRule type="cellIs" dxfId="5241" priority="332" operator="equal">
      <formula>"_"</formula>
    </cfRule>
    <cfRule type="containsText" dxfId="5240" priority="333" operator="containsText" text="[adv]">
      <formula>NOT(ISERROR(SEARCH("[adv]",H116)))</formula>
    </cfRule>
    <cfRule type="containsText" dxfId="5239" priority="334" operator="containsText" text="[adv]">
      <formula>NOT(ISERROR(SEARCH("[adv]",H116)))</formula>
    </cfRule>
    <cfRule type="containsText" dxfId="5238" priority="335" operator="containsText" text="[pluk]">
      <formula>NOT(ISERROR(SEARCH("[pluk]",H116)))</formula>
    </cfRule>
    <cfRule type="cellIs" dxfId="5237" priority="336" operator="equal">
      <formula>"_"</formula>
    </cfRule>
    <cfRule type="containsText" dxfId="5236" priority="337" operator="containsText" text="[adv]">
      <formula>NOT(ISERROR(SEARCH("[adv]",H116)))</formula>
    </cfRule>
    <cfRule type="containsText" dxfId="5235" priority="338" operator="containsText" text="[adv]">
      <formula>NOT(ISERROR(SEARCH("[adv]",H116)))</formula>
    </cfRule>
    <cfRule type="containsText" dxfId="5234" priority="339" operator="containsText" text="[pluk]">
      <formula>NOT(ISERROR(SEARCH("[pluk]",H116)))</formula>
    </cfRule>
    <cfRule type="cellIs" dxfId="5233" priority="340" operator="equal">
      <formula>"_"</formula>
    </cfRule>
  </conditionalFormatting>
  <conditionalFormatting sqref="H117">
    <cfRule type="cellIs" dxfId="5232" priority="7430" operator="equal">
      <formula>"_"</formula>
    </cfRule>
    <cfRule type="containsText" dxfId="5231" priority="7431" operator="containsText" text="[adv]">
      <formula>NOT(ISERROR(SEARCH("[adv]",H117)))</formula>
    </cfRule>
  </conditionalFormatting>
  <conditionalFormatting sqref="H124">
    <cfRule type="cellIs" dxfId="5230" priority="315" operator="equal">
      <formula>"_"</formula>
    </cfRule>
    <cfRule type="containsText" dxfId="5229" priority="316" operator="containsText" text="[adv]">
      <formula>NOT(ISERROR(SEARCH("[adv]",H124)))</formula>
    </cfRule>
    <cfRule type="cellIs" dxfId="5228" priority="317" operator="equal">
      <formula>"_"</formula>
    </cfRule>
    <cfRule type="containsText" dxfId="5227" priority="318" operator="containsText" text="[pluk]">
      <formula>NOT(ISERROR(SEARCH("[pluk]",H124)))</formula>
    </cfRule>
    <cfRule type="cellIs" dxfId="5226" priority="319" operator="equal">
      <formula>"_"</formula>
    </cfRule>
    <cfRule type="containsText" dxfId="5225" priority="320" operator="containsText" text="[adv]">
      <formula>NOT(ISERROR(SEARCH("[adv]",H124)))</formula>
    </cfRule>
    <cfRule type="containsText" dxfId="5224" priority="321" operator="containsText" text="[adv]">
      <formula>NOT(ISERROR(SEARCH("[adv]",H124)))</formula>
    </cfRule>
    <cfRule type="containsText" dxfId="5223" priority="322" operator="containsText" text="[pluk]">
      <formula>NOT(ISERROR(SEARCH("[pluk]",H124)))</formula>
    </cfRule>
    <cfRule type="cellIs" dxfId="5222" priority="323" operator="equal">
      <formula>"_"</formula>
    </cfRule>
    <cfRule type="containsText" dxfId="5221" priority="324" operator="containsText" text="[adv]">
      <formula>NOT(ISERROR(SEARCH("[adv]",H124)))</formula>
    </cfRule>
    <cfRule type="containsText" dxfId="5220" priority="325" operator="containsText" text="[adv]">
      <formula>NOT(ISERROR(SEARCH("[adv]",H124)))</formula>
    </cfRule>
    <cfRule type="containsText" dxfId="5219" priority="326" operator="containsText" text="[pluk]">
      <formula>NOT(ISERROR(SEARCH("[pluk]",H124)))</formula>
    </cfRule>
    <cfRule type="cellIs" dxfId="5218" priority="327" operator="equal">
      <formula>"_"</formula>
    </cfRule>
  </conditionalFormatting>
  <conditionalFormatting sqref="H126">
    <cfRule type="cellIs" dxfId="5217" priority="7505" operator="equal">
      <formula>"_"</formula>
    </cfRule>
    <cfRule type="containsText" dxfId="5216" priority="7506" operator="containsText" text="[adv]">
      <formula>NOT(ISERROR(SEARCH("[adv]",H126)))</formula>
    </cfRule>
  </conditionalFormatting>
  <conditionalFormatting sqref="H127">
    <cfRule type="timePeriod" dxfId="5215" priority="7428" timePeriod="thisMonth">
      <formula>AND(MONTH(H127)=MONTH(TODAY()),YEAR(H127)=YEAR(TODAY()))</formula>
    </cfRule>
  </conditionalFormatting>
  <conditionalFormatting sqref="H134:H135">
    <cfRule type="cellIs" dxfId="5214" priority="7427" operator="equal">
      <formula>"_"</formula>
    </cfRule>
  </conditionalFormatting>
  <conditionalFormatting sqref="H135">
    <cfRule type="timePeriod" dxfId="5213" priority="7424" timePeriod="thisMonth">
      <formula>AND(MONTH(H135)=MONTH(TODAY()),YEAR(H135)=YEAR(TODAY()))</formula>
    </cfRule>
    <cfRule type="containsText" dxfId="5212" priority="7426" operator="containsText" text="[adv]">
      <formula>NOT(ISERROR(SEARCH("[adv]",H135)))</formula>
    </cfRule>
  </conditionalFormatting>
  <conditionalFormatting sqref="H135:H136">
    <cfRule type="containsText" dxfId="5211" priority="7425" operator="containsText" text="[pluk]">
      <formula>NOT(ISERROR(SEARCH("[pluk]",H135)))</formula>
    </cfRule>
  </conditionalFormatting>
  <conditionalFormatting sqref="H137">
    <cfRule type="cellIs" dxfId="5210" priority="7384" operator="equal">
      <formula>"_"</formula>
    </cfRule>
    <cfRule type="containsText" dxfId="5209" priority="7385" operator="containsText" text="[adv]">
      <formula>NOT(ISERROR(SEARCH("[adv]",H137)))</formula>
    </cfRule>
  </conditionalFormatting>
  <conditionalFormatting sqref="H140">
    <cfRule type="containsText" dxfId="5208" priority="7353" operator="containsText" text="[adv]">
      <formula>NOT(ISERROR(SEARCH("[adv]",H140)))</formula>
    </cfRule>
  </conditionalFormatting>
  <conditionalFormatting sqref="H142">
    <cfRule type="cellIs" dxfId="5207" priority="7289" operator="equal">
      <formula>"_"</formula>
    </cfRule>
    <cfRule type="containsText" dxfId="5206" priority="7290" operator="containsText" text="[pluk]">
      <formula>NOT(ISERROR(SEARCH("[pluk]",H142)))</formula>
    </cfRule>
    <cfRule type="containsText" dxfId="5205" priority="7291" operator="containsText" text="[adv]">
      <formula>NOT(ISERROR(SEARCH("[adv]",H142)))</formula>
    </cfRule>
  </conditionalFormatting>
  <conditionalFormatting sqref="H148:H149">
    <cfRule type="containsText" dxfId="5204" priority="7268" operator="containsText" text="[adv]">
      <formula>NOT(ISERROR(SEARCH("[adv]",H148)))</formula>
    </cfRule>
  </conditionalFormatting>
  <conditionalFormatting sqref="H149">
    <cfRule type="cellIs" dxfId="5203" priority="7266" operator="equal">
      <formula>"_"</formula>
    </cfRule>
    <cfRule type="containsText" dxfId="5202" priority="7267" operator="containsText" text="[pluk]">
      <formula>NOT(ISERROR(SEARCH("[pluk]",H149)))</formula>
    </cfRule>
  </conditionalFormatting>
  <conditionalFormatting sqref="H150">
    <cfRule type="containsText" dxfId="5201" priority="7421" operator="containsText" text="[pluk]">
      <formula>NOT(ISERROR(SEARCH("[pluk]",H150)))</formula>
    </cfRule>
    <cfRule type="cellIs" dxfId="5200" priority="7422" operator="equal">
      <formula>"_"</formula>
    </cfRule>
    <cfRule type="containsText" dxfId="5199" priority="7423" operator="containsText" text="[pluk]">
      <formula>NOT(ISERROR(SEARCH("[pluk]",H150)))</formula>
    </cfRule>
  </conditionalFormatting>
  <conditionalFormatting sqref="H150:H152">
    <cfRule type="containsText" dxfId="5198" priority="7355" operator="containsText" text="[adv]">
      <formula>NOT(ISERROR(SEARCH("[adv]",H150)))</formula>
    </cfRule>
  </conditionalFormatting>
  <conditionalFormatting sqref="H156">
    <cfRule type="containsText" dxfId="5197" priority="7258" operator="containsText" text="[pluk]">
      <formula>NOT(ISERROR(SEARCH("[pluk]",H156)))</formula>
    </cfRule>
  </conditionalFormatting>
  <conditionalFormatting sqref="H157">
    <cfRule type="timePeriod" dxfId="5196" priority="7229" timePeriod="thisMonth">
      <formula>AND(MONTH(H157)=MONTH(TODAY()),YEAR(H157)=YEAR(TODAY()))</formula>
    </cfRule>
  </conditionalFormatting>
  <conditionalFormatting sqref="H158">
    <cfRule type="timePeriod" dxfId="5195" priority="7248" timePeriod="thisMonth">
      <formula>AND(MONTH(H158)=MONTH(TODAY()),YEAR(H158)=YEAR(TODAY()))</formula>
    </cfRule>
    <cfRule type="containsText" dxfId="5194" priority="7249" operator="containsText" text="[pluk]">
      <formula>NOT(ISERROR(SEARCH("[pluk]",H158)))</formula>
    </cfRule>
    <cfRule type="cellIs" dxfId="5193" priority="7292" operator="equal">
      <formula>"_"</formula>
    </cfRule>
    <cfRule type="containsText" dxfId="5192" priority="7293" operator="containsText" text="[adv]">
      <formula>NOT(ISERROR(SEARCH("[adv]",H158)))</formula>
    </cfRule>
  </conditionalFormatting>
  <conditionalFormatting sqref="H158:H159">
    <cfRule type="containsText" dxfId="5191" priority="7247" operator="containsText" text="[adv]">
      <formula>NOT(ISERROR(SEARCH("[adv]",H158)))</formula>
    </cfRule>
  </conditionalFormatting>
  <conditionalFormatting sqref="H161">
    <cfRule type="timePeriod" dxfId="5190" priority="7243" timePeriod="thisMonth">
      <formula>AND(MONTH(H161)=MONTH(TODAY()),YEAR(H161)=YEAR(TODAY()))</formula>
    </cfRule>
  </conditionalFormatting>
  <conditionalFormatting sqref="H164">
    <cfRule type="timePeriod" dxfId="5189" priority="7146" timePeriod="thisMonth">
      <formula>AND(MONTH(H164)=MONTH(TODAY()),YEAR(H164)=YEAR(TODAY()))</formula>
    </cfRule>
  </conditionalFormatting>
  <conditionalFormatting sqref="H165">
    <cfRule type="containsText" dxfId="5188" priority="7234" operator="containsText" text="[pluk]">
      <formula>NOT(ISERROR(SEARCH("[pluk]",H165)))</formula>
    </cfRule>
    <cfRule type="cellIs" dxfId="5187" priority="7235" operator="equal">
      <formula>"_"</formula>
    </cfRule>
  </conditionalFormatting>
  <conditionalFormatting sqref="H165:H166">
    <cfRule type="containsText" dxfId="5186" priority="7236" operator="containsText" text="[pluk]">
      <formula>NOT(ISERROR(SEARCH("[pluk]",H165)))</formula>
    </cfRule>
  </conditionalFormatting>
  <conditionalFormatting sqref="H166">
    <cfRule type="cellIs" dxfId="5185" priority="7285" operator="equal">
      <formula>"_"</formula>
    </cfRule>
    <cfRule type="containsText" dxfId="5184" priority="7286" operator="containsText" text="[pluk]">
      <formula>NOT(ISERROR(SEARCH("[pluk]",H166)))</formula>
    </cfRule>
  </conditionalFormatting>
  <conditionalFormatting sqref="H166:H167">
    <cfRule type="containsText" dxfId="5183" priority="7066" operator="containsText" text="[adv]">
      <formula>NOT(ISERROR(SEARCH("[adv]",H166)))</formula>
    </cfRule>
  </conditionalFormatting>
  <conditionalFormatting sqref="H167:H169">
    <cfRule type="cellIs" dxfId="5182" priority="7065" operator="equal">
      <formula>"_"</formula>
    </cfRule>
  </conditionalFormatting>
  <conditionalFormatting sqref="H168:H169">
    <cfRule type="containsText" dxfId="5181" priority="7199" operator="containsText" text="[pluk]">
      <formula>NOT(ISERROR(SEARCH("[pluk]",H168)))</formula>
    </cfRule>
    <cfRule type="containsText" dxfId="5180" priority="7200" operator="containsText" text="[adv]">
      <formula>NOT(ISERROR(SEARCH("[adv]",H168)))</formula>
    </cfRule>
    <cfRule type="cellIs" dxfId="5179" priority="7201" operator="equal">
      <formula>"_"</formula>
    </cfRule>
    <cfRule type="containsText" dxfId="5178" priority="7202" operator="containsText" text="[pluk]">
      <formula>NOT(ISERROR(SEARCH("[pluk]",H168)))</formula>
    </cfRule>
  </conditionalFormatting>
  <conditionalFormatting sqref="H173">
    <cfRule type="containsText" dxfId="5177" priority="7051" operator="containsText" text="[adv]">
      <formula>NOT(ISERROR(SEARCH("[adv]",H173)))</formula>
    </cfRule>
    <cfRule type="cellIs" dxfId="5176" priority="7052" operator="equal">
      <formula>"_"</formula>
    </cfRule>
  </conditionalFormatting>
  <conditionalFormatting sqref="H177">
    <cfRule type="containsText" dxfId="5175" priority="7112" operator="containsText" text="[adv]">
      <formula>NOT(ISERROR(SEARCH("[adv]",H177)))</formula>
    </cfRule>
  </conditionalFormatting>
  <conditionalFormatting sqref="H180">
    <cfRule type="containsText" dxfId="5174" priority="7190" operator="containsText" text="[pluk]">
      <formula>NOT(ISERROR(SEARCH("[pluk]",H180)))</formula>
    </cfRule>
  </conditionalFormatting>
  <conditionalFormatting sqref="H181">
    <cfRule type="containsText" dxfId="5173" priority="7116" operator="containsText" text="[adv]">
      <formula>NOT(ISERROR(SEARCH("[adv]",H181)))</formula>
    </cfRule>
  </conditionalFormatting>
  <conditionalFormatting sqref="H182">
    <cfRule type="notContainsBlanks" dxfId="5172" priority="7075">
      <formula>LEN(TRIM(H182))&gt;0</formula>
    </cfRule>
    <cfRule type="notContainsBlanks" dxfId="5171" priority="7084">
      <formula>LEN(TRIM(H182))&gt;0</formula>
    </cfRule>
  </conditionalFormatting>
  <conditionalFormatting sqref="H183">
    <cfRule type="containsText" dxfId="5170" priority="7252" operator="containsText" text="[adv]">
      <formula>NOT(ISERROR(SEARCH("[adv]",H183)))</formula>
    </cfRule>
  </conditionalFormatting>
  <conditionalFormatting sqref="H183:H184">
    <cfRule type="cellIs" dxfId="5169" priority="7072" operator="equal">
      <formula>"_"</formula>
    </cfRule>
  </conditionalFormatting>
  <conditionalFormatting sqref="H184">
    <cfRule type="cellIs" dxfId="5168" priority="7069" operator="equal">
      <formula>"_"</formula>
    </cfRule>
    <cfRule type="containsText" dxfId="5167" priority="7070" operator="containsText" text="[pluk]">
      <formula>NOT(ISERROR(SEARCH("[pluk]",H184)))</formula>
    </cfRule>
    <cfRule type="containsText" dxfId="5166" priority="7071" operator="containsText" text="[adv]">
      <formula>NOT(ISERROR(SEARCH("[adv]",H184)))</formula>
    </cfRule>
    <cfRule type="containsText" dxfId="5165" priority="7073" operator="containsText" text="[pluk]">
      <formula>NOT(ISERROR(SEARCH("[pluk]",H184)))</formula>
    </cfRule>
  </conditionalFormatting>
  <conditionalFormatting sqref="H189:H190">
    <cfRule type="cellIs" dxfId="5164" priority="6930" operator="equal">
      <formula>"_"</formula>
    </cfRule>
    <cfRule type="containsText" dxfId="5163" priority="6931" operator="containsText" text="[pluk]">
      <formula>NOT(ISERROR(SEARCH("[pluk]",H189)))</formula>
    </cfRule>
    <cfRule type="containsText" dxfId="5162" priority="6932" operator="containsText" text="[adv]">
      <formula>NOT(ISERROR(SEARCH("[adv]",H189)))</formula>
    </cfRule>
    <cfRule type="cellIs" dxfId="5161" priority="6933" operator="equal">
      <formula>"_"</formula>
    </cfRule>
  </conditionalFormatting>
  <conditionalFormatting sqref="H189:H191">
    <cfRule type="containsText" dxfId="5160" priority="6934" operator="containsText" text="[pluk]">
      <formula>NOT(ISERROR(SEARCH("[pluk]",H189)))</formula>
    </cfRule>
  </conditionalFormatting>
  <conditionalFormatting sqref="H191">
    <cfRule type="timePeriod" dxfId="5159" priority="6950" timePeriod="thisMonth">
      <formula>AND(MONTH(H191)=MONTH(TODAY()),YEAR(H191)=YEAR(TODAY()))</formula>
    </cfRule>
    <cfRule type="cellIs" dxfId="5158" priority="6951" operator="equal">
      <formula>"_"</formula>
    </cfRule>
    <cfRule type="containsText" dxfId="5157" priority="6952" operator="containsText" text="[adv]">
      <formula>NOT(ISERROR(SEARCH("[adv]",H191)))</formula>
    </cfRule>
  </conditionalFormatting>
  <conditionalFormatting sqref="H193">
    <cfRule type="cellIs" dxfId="5156" priority="6953" operator="equal">
      <formula>"_"</formula>
    </cfRule>
    <cfRule type="containsText" dxfId="5155" priority="6954" operator="containsText" text="[pluk]">
      <formula>NOT(ISERROR(SEARCH("[pluk]",H193)))</formula>
    </cfRule>
    <cfRule type="containsText" dxfId="5154" priority="6955" operator="containsText" text="[adv]">
      <formula>NOT(ISERROR(SEARCH("[adv]",H193)))</formula>
    </cfRule>
    <cfRule type="containsText" dxfId="5153" priority="6956" operator="containsText" text="[pluk]">
      <formula>NOT(ISERROR(SEARCH("[pluk]",H193)))</formula>
    </cfRule>
    <cfRule type="cellIs" dxfId="5152" priority="6957" operator="equal">
      <formula>"_"</formula>
    </cfRule>
  </conditionalFormatting>
  <conditionalFormatting sqref="H197">
    <cfRule type="containsText" dxfId="5151" priority="7138" operator="containsText" text="[pluk]">
      <formula>NOT(ISERROR(SEARCH("[pluk]",H197)))</formula>
    </cfRule>
    <cfRule type="cellIs" dxfId="5150" priority="7139" operator="equal">
      <formula>"_"</formula>
    </cfRule>
    <cfRule type="containsText" dxfId="5149" priority="7140" operator="containsText" text="[pluk]">
      <formula>NOT(ISERROR(SEARCH("[pluk]",H197)))</formula>
    </cfRule>
    <cfRule type="cellIs" dxfId="5148" priority="7141" operator="equal">
      <formula>"_"</formula>
    </cfRule>
    <cfRule type="containsText" dxfId="5147" priority="7142" operator="containsText" text="[pluk]">
      <formula>NOT(ISERROR(SEARCH("[pluk]",H197)))</formula>
    </cfRule>
    <cfRule type="cellIs" dxfId="5146" priority="7143" operator="equal">
      <formula>"_"</formula>
    </cfRule>
    <cfRule type="containsText" dxfId="5145" priority="7144" operator="containsText" text="[pluk]">
      <formula>NOT(ISERROR(SEARCH("[pluk]",H197)))</formula>
    </cfRule>
    <cfRule type="containsText" dxfId="5144" priority="7145" operator="containsText" text="[adv]">
      <formula>NOT(ISERROR(SEARCH("[adv]",H197)))</formula>
    </cfRule>
  </conditionalFormatting>
  <conditionalFormatting sqref="H197:H199">
    <cfRule type="cellIs" dxfId="5143" priority="6888" operator="equal">
      <formula>"_"</formula>
    </cfRule>
    <cfRule type="containsText" dxfId="5142" priority="6889" operator="containsText" text="[pluk]">
      <formula>NOT(ISERROR(SEARCH("[pluk]",H197)))</formula>
    </cfRule>
    <cfRule type="containsText" dxfId="5141" priority="6890" operator="containsText" text="[adv]">
      <formula>NOT(ISERROR(SEARCH("[adv]",H197)))</formula>
    </cfRule>
  </conditionalFormatting>
  <conditionalFormatting sqref="H198">
    <cfRule type="cellIs" dxfId="5140" priority="6880" operator="equal">
      <formula>"_"</formula>
    </cfRule>
    <cfRule type="containsText" dxfId="5139" priority="6881" operator="containsText" text="[pluk]">
      <formula>NOT(ISERROR(SEARCH("[pluk]",H198)))</formula>
    </cfRule>
    <cfRule type="containsText" dxfId="5138" priority="6882" operator="containsText" text="[adv]">
      <formula>NOT(ISERROR(SEARCH("[adv]",H198)))</formula>
    </cfRule>
    <cfRule type="containsText" dxfId="5137" priority="6883" operator="containsText" text="[pluk]">
      <formula>NOT(ISERROR(SEARCH("[pluk]",H198)))</formula>
    </cfRule>
    <cfRule type="cellIs" dxfId="5136" priority="6884" operator="equal">
      <formula>"_"</formula>
    </cfRule>
    <cfRule type="containsText" dxfId="5135" priority="6885" operator="containsText" text="[pluk]">
      <formula>NOT(ISERROR(SEARCH("[pluk]",H198)))</formula>
    </cfRule>
    <cfRule type="cellIs" dxfId="5134" priority="6886" operator="equal">
      <formula>"_"</formula>
    </cfRule>
    <cfRule type="containsText" dxfId="5133" priority="6887" operator="containsText" text="[pluk]">
      <formula>NOT(ISERROR(SEARCH("[pluk]",H198)))</formula>
    </cfRule>
  </conditionalFormatting>
  <conditionalFormatting sqref="H199">
    <cfRule type="containsText" dxfId="5132" priority="7019" operator="containsText" text="[pluk]">
      <formula>NOT(ISERROR(SEARCH("[pluk]",H199)))</formula>
    </cfRule>
    <cfRule type="cellIs" dxfId="5131" priority="7020" operator="equal">
      <formula>"_"</formula>
    </cfRule>
    <cfRule type="containsText" dxfId="5130" priority="7021" operator="containsText" text="[adv]">
      <formula>NOT(ISERROR(SEARCH("[adv]",H199)))</formula>
    </cfRule>
  </conditionalFormatting>
  <conditionalFormatting sqref="H206">
    <cfRule type="containsText" dxfId="5129" priority="6780" operator="containsText" text="[pluk]">
      <formula>NOT(ISERROR(SEARCH("[pluk]",H206)))</formula>
    </cfRule>
    <cfRule type="containsText" dxfId="5128" priority="6781" operator="containsText" text="[adv]">
      <formula>NOT(ISERROR(SEARCH("[adv]",H206)))</formula>
    </cfRule>
    <cfRule type="containsText" dxfId="5127" priority="6782" operator="containsText" text="[pluk]">
      <formula>NOT(ISERROR(SEARCH("[pluk]",H206)))</formula>
    </cfRule>
    <cfRule type="cellIs" dxfId="5126" priority="6783" operator="equal">
      <formula>"_"</formula>
    </cfRule>
    <cfRule type="containsText" dxfId="5125" priority="6784" operator="containsText" text="[adv]">
      <formula>NOT(ISERROR(SEARCH("[adv]",H206)))</formula>
    </cfRule>
    <cfRule type="containsText" dxfId="5124" priority="7009" operator="containsText" text="[pluk]">
      <formula>NOT(ISERROR(SEARCH("[pluk]",H206)))</formula>
    </cfRule>
    <cfRule type="cellIs" dxfId="5123" priority="7010" operator="equal">
      <formula>"_"</formula>
    </cfRule>
    <cfRule type="containsText" dxfId="5122" priority="7011" operator="containsText" text="[pluk]">
      <formula>NOT(ISERROR(SEARCH("[pluk]",H206)))</formula>
    </cfRule>
    <cfRule type="cellIs" dxfId="5121" priority="7012" operator="equal">
      <formula>"_"</formula>
    </cfRule>
    <cfRule type="containsText" dxfId="5120" priority="7013" operator="containsText" text="[pluk]">
      <formula>NOT(ISERROR(SEARCH("[pluk]",H206)))</formula>
    </cfRule>
    <cfRule type="cellIs" dxfId="5119" priority="7014" operator="equal">
      <formula>"_"</formula>
    </cfRule>
    <cfRule type="containsText" dxfId="5118" priority="7015" operator="containsText" text="[pluk]">
      <formula>NOT(ISERROR(SEARCH("[pluk]",H206)))</formula>
    </cfRule>
    <cfRule type="containsText" dxfId="5117" priority="7016" operator="containsText" text="[adv]">
      <formula>NOT(ISERROR(SEARCH("[adv]",H206)))</formula>
    </cfRule>
  </conditionalFormatting>
  <conditionalFormatting sqref="H206:H208">
    <cfRule type="cellIs" dxfId="5116" priority="6775" operator="equal">
      <formula>"_"</formula>
    </cfRule>
  </conditionalFormatting>
  <conditionalFormatting sqref="H207">
    <cfRule type="containsText" dxfId="5115" priority="6764" operator="containsText" text="[adv]">
      <formula>NOT(ISERROR(SEARCH("[adv]",H207)))</formula>
    </cfRule>
  </conditionalFormatting>
  <conditionalFormatting sqref="H207:H208">
    <cfRule type="cellIs" dxfId="5114" priority="6771" operator="equal">
      <formula>"_"</formula>
    </cfRule>
    <cfRule type="containsText" dxfId="5113" priority="6772" operator="containsText" text="[pluk]">
      <formula>NOT(ISERROR(SEARCH("[pluk]",H207)))</formula>
    </cfRule>
    <cfRule type="containsText" dxfId="5112" priority="6773" operator="containsText" text="[adv]">
      <formula>NOT(ISERROR(SEARCH("[adv]",H207)))</formula>
    </cfRule>
    <cfRule type="containsText" dxfId="5111" priority="6774" operator="containsText" text="[pluk]">
      <formula>NOT(ISERROR(SEARCH("[pluk]",H207)))</formula>
    </cfRule>
    <cfRule type="containsText" dxfId="5110" priority="6776" operator="containsText" text="[adv]">
      <formula>NOT(ISERROR(SEARCH("[adv]",H207)))</formula>
    </cfRule>
  </conditionalFormatting>
  <conditionalFormatting sqref="H212">
    <cfRule type="containsText" dxfId="5109" priority="6820" operator="containsText" text="[adv]">
      <formula>NOT(ISERROR(SEARCH("[adv]",H212)))</formula>
    </cfRule>
    <cfRule type="containsText" dxfId="5108" priority="6821" operator="containsText" text="[pluk]">
      <formula>NOT(ISERROR(SEARCH("[pluk]",H212)))</formula>
    </cfRule>
    <cfRule type="cellIs" dxfId="5107" priority="6822" operator="equal">
      <formula>"_"</formula>
    </cfRule>
    <cfRule type="containsText" dxfId="5106" priority="6823" operator="containsText" text="[pluk]">
      <formula>NOT(ISERROR(SEARCH("[pluk]",H212)))</formula>
    </cfRule>
    <cfRule type="cellIs" dxfId="5105" priority="6824" operator="equal">
      <formula>"_"</formula>
    </cfRule>
    <cfRule type="containsText" dxfId="5104" priority="6825" operator="containsText" text="[pluk]">
      <formula>NOT(ISERROR(SEARCH("[pluk]",H212)))</formula>
    </cfRule>
  </conditionalFormatting>
  <conditionalFormatting sqref="H212:H213">
    <cfRule type="cellIs" dxfId="5103" priority="6826" operator="equal">
      <formula>"_"</formula>
    </cfRule>
    <cfRule type="containsText" dxfId="5102" priority="6827" operator="containsText" text="[pluk]">
      <formula>NOT(ISERROR(SEARCH("[pluk]",H212)))</formula>
    </cfRule>
    <cfRule type="containsText" dxfId="5101" priority="6828" operator="containsText" text="[adv]">
      <formula>NOT(ISERROR(SEARCH("[adv]",H212)))</formula>
    </cfRule>
  </conditionalFormatting>
  <conditionalFormatting sqref="H213">
    <cfRule type="containsText" dxfId="5100" priority="7006" operator="containsText" text="[pluk]">
      <formula>NOT(ISERROR(SEARCH("[pluk]",H213)))</formula>
    </cfRule>
    <cfRule type="cellIs" dxfId="5099" priority="7007" operator="equal">
      <formula>"_"</formula>
    </cfRule>
    <cfRule type="containsText" dxfId="5098" priority="7008" operator="containsText" text="[adv]">
      <formula>NOT(ISERROR(SEARCH("[adv]",H213)))</formula>
    </cfRule>
  </conditionalFormatting>
  <conditionalFormatting sqref="H216">
    <cfRule type="cellIs" dxfId="5097" priority="6802" operator="equal">
      <formula>"_"</formula>
    </cfRule>
    <cfRule type="containsText" dxfId="5096" priority="6803" operator="containsText" text="[pluk]">
      <formula>NOT(ISERROR(SEARCH("[pluk]",H216)))</formula>
    </cfRule>
    <cfRule type="containsText" dxfId="5095" priority="6804" operator="containsText" text="[adv]">
      <formula>NOT(ISERROR(SEARCH("[adv]",H216)))</formula>
    </cfRule>
  </conditionalFormatting>
  <conditionalFormatting sqref="H216:H217">
    <cfRule type="containsText" dxfId="5094" priority="6805" operator="containsText" text="[pluk]">
      <formula>NOT(ISERROR(SEARCH("[pluk]",H216)))</formula>
    </cfRule>
    <cfRule type="cellIs" dxfId="5093" priority="6806" operator="equal">
      <formula>"_"</formula>
    </cfRule>
    <cfRule type="containsText" dxfId="5092" priority="6807" operator="containsText" text="[adv]">
      <formula>NOT(ISERROR(SEARCH("[adv]",H216)))</formula>
    </cfRule>
  </conditionalFormatting>
  <conditionalFormatting sqref="H220">
    <cfRule type="timePeriod" dxfId="5091" priority="6653" timePeriod="thisMonth">
      <formula>AND(MONTH(H220)=MONTH(TODAY()),YEAR(H220)=YEAR(TODAY()))</formula>
    </cfRule>
    <cfRule type="notContainsBlanks" dxfId="5090" priority="6654">
      <formula>LEN(TRIM(H220))&gt;0</formula>
    </cfRule>
    <cfRule type="notContainsBlanks" dxfId="5089" priority="6655">
      <formula>LEN(TRIM(H220))&gt;0</formula>
    </cfRule>
    <cfRule type="cellIs" dxfId="5088" priority="6656" operator="equal">
      <formula>"ID+"</formula>
    </cfRule>
    <cfRule type="cellIs" dxfId="5087" priority="6657" operator="equal">
      <formula>"HK*"</formula>
    </cfRule>
    <cfRule type="cellIs" dxfId="5086" priority="6658" operator="equal">
      <formula>"HK"</formula>
    </cfRule>
    <cfRule type="cellIs" dxfId="5085" priority="6659" operator="equal">
      <formula>"HK+"</formula>
    </cfRule>
    <cfRule type="cellIs" dxfId="5084" priority="6660" operator="equal">
      <formula>"ID"</formula>
    </cfRule>
    <cfRule type="cellIs" dxfId="5083" priority="6661" operator="equal">
      <formula>"ID*"</formula>
    </cfRule>
    <cfRule type="notContainsBlanks" dxfId="5082" priority="6662">
      <formula>LEN(TRIM(H220))&gt;0</formula>
    </cfRule>
  </conditionalFormatting>
  <conditionalFormatting sqref="H224:H225">
    <cfRule type="cellIs" dxfId="5081" priority="6765" operator="equal">
      <formula>"_"</formula>
    </cfRule>
    <cfRule type="containsText" dxfId="5080" priority="6766" operator="containsText" text="[pluk]">
      <formula>NOT(ISERROR(SEARCH("[pluk]",H224)))</formula>
    </cfRule>
    <cfRule type="containsText" dxfId="5079" priority="6767" operator="containsText" text="[adv]">
      <formula>NOT(ISERROR(SEARCH("[adv]",H224)))</formula>
    </cfRule>
    <cfRule type="containsText" dxfId="5078" priority="6768" operator="containsText" text="[pluk]">
      <formula>NOT(ISERROR(SEARCH("[pluk]",H224)))</formula>
    </cfRule>
    <cfRule type="cellIs" dxfId="5077" priority="6769" operator="equal">
      <formula>"_"</formula>
    </cfRule>
    <cfRule type="containsText" dxfId="5076" priority="6770" operator="containsText" text="[adv]">
      <formula>NOT(ISERROR(SEARCH("[adv]",H224)))</formula>
    </cfRule>
  </conditionalFormatting>
  <conditionalFormatting sqref="H225">
    <cfRule type="cellIs" dxfId="5075" priority="6733" operator="equal">
      <formula>"_"</formula>
    </cfRule>
    <cfRule type="containsText" dxfId="5074" priority="6734" operator="containsText" text="[pluk]">
      <formula>NOT(ISERROR(SEARCH("[pluk]",H225)))</formula>
    </cfRule>
    <cfRule type="containsText" dxfId="5073" priority="6735" operator="containsText" text="[adv]">
      <formula>NOT(ISERROR(SEARCH("[adv]",H225)))</formula>
    </cfRule>
    <cfRule type="containsText" dxfId="5072" priority="6736" operator="containsText" text="[pluk]">
      <formula>NOT(ISERROR(SEARCH("[pluk]",H225)))</formula>
    </cfRule>
    <cfRule type="cellIs" dxfId="5071" priority="6737" operator="equal">
      <formula>"_"</formula>
    </cfRule>
    <cfRule type="containsText" dxfId="5070" priority="6738" operator="containsText" text="[adv]">
      <formula>NOT(ISERROR(SEARCH("[adv]",H225)))</formula>
    </cfRule>
  </conditionalFormatting>
  <conditionalFormatting sqref="H228">
    <cfRule type="containsText" dxfId="5069" priority="6663" operator="containsText" text="[pluk]">
      <formula>NOT(ISERROR(SEARCH("[pluk]",H228)))</formula>
    </cfRule>
    <cfRule type="cellIs" dxfId="5068" priority="6664" operator="equal">
      <formula>"_"</formula>
    </cfRule>
    <cfRule type="containsText" dxfId="5067" priority="6665" operator="containsText" text="[pluk]">
      <formula>NOT(ISERROR(SEARCH("[pluk]",H228)))</formula>
    </cfRule>
    <cfRule type="containsText" dxfId="5066" priority="6666" operator="containsText" text="[adv]">
      <formula>NOT(ISERROR(SEARCH("[adv]",H228)))</formula>
    </cfRule>
    <cfRule type="cellIs" dxfId="5065" priority="6668" operator="equal">
      <formula>"_"</formula>
    </cfRule>
    <cfRule type="containsText" dxfId="5064" priority="6669" operator="containsText" text="[adv]">
      <formula>NOT(ISERROR(SEARCH("[adv]",H228)))</formula>
    </cfRule>
  </conditionalFormatting>
  <conditionalFormatting sqref="H229">
    <cfRule type="containsText" dxfId="5063" priority="6963" operator="containsText" text="[adv]">
      <formula>NOT(ISERROR(SEARCH("[adv]",H229)))</formula>
    </cfRule>
  </conditionalFormatting>
  <conditionalFormatting sqref="H230">
    <cfRule type="containsText" dxfId="5062" priority="6605" operator="containsText" text="[pluk]">
      <formula>NOT(ISERROR(SEARCH("[pluk]",H230)))</formula>
    </cfRule>
    <cfRule type="cellIs" dxfId="5061" priority="6606" operator="equal">
      <formula>"_"</formula>
    </cfRule>
    <cfRule type="containsText" dxfId="5060" priority="6607" operator="containsText" text="[pluk]">
      <formula>NOT(ISERROR(SEARCH("[pluk]",H230)))</formula>
    </cfRule>
    <cfRule type="containsText" dxfId="5059" priority="6608" operator="containsText" text="[adv]">
      <formula>NOT(ISERROR(SEARCH("[adv]",H230)))</formula>
    </cfRule>
    <cfRule type="containsText" dxfId="5058" priority="6609" operator="containsText" text="[pluk]">
      <formula>NOT(ISERROR(SEARCH("[pluk]",H230)))</formula>
    </cfRule>
    <cfRule type="cellIs" dxfId="5057" priority="6610" operator="equal">
      <formula>"_"</formula>
    </cfRule>
    <cfRule type="containsText" dxfId="5056" priority="6611" operator="containsText" text="[adv]">
      <formula>NOT(ISERROR(SEARCH("[adv]",H230)))</formula>
    </cfRule>
    <cfRule type="containsText" dxfId="5055" priority="6651" operator="containsText" text="[pluk]">
      <formula>NOT(ISERROR(SEARCH("[pluk]",H230)))</formula>
    </cfRule>
    <cfRule type="cellIs" dxfId="5054" priority="6670" operator="equal">
      <formula>"_"</formula>
    </cfRule>
    <cfRule type="containsText" dxfId="5053" priority="6671" operator="containsText" text="[pluk]">
      <formula>NOT(ISERROR(SEARCH("[pluk]",H230)))</formula>
    </cfRule>
    <cfRule type="containsText" dxfId="5052" priority="6672" operator="containsText" text="[adv]">
      <formula>NOT(ISERROR(SEARCH("[adv]",H230)))</formula>
    </cfRule>
    <cfRule type="containsText" dxfId="5051" priority="6673" operator="containsText" text="[pluk]">
      <formula>NOT(ISERROR(SEARCH("[pluk]",H230)))</formula>
    </cfRule>
    <cfRule type="cellIs" dxfId="5050" priority="6674" operator="equal">
      <formula>"_"</formula>
    </cfRule>
    <cfRule type="containsText" dxfId="5049" priority="6675" operator="containsText" text="[adv]">
      <formula>NOT(ISERROR(SEARCH("[adv]",H230)))</formula>
    </cfRule>
  </conditionalFormatting>
  <conditionalFormatting sqref="H232">
    <cfRule type="containsText" dxfId="5048" priority="6676" operator="containsText" text="[pluk]">
      <formula>NOT(ISERROR(SEARCH("[pluk]",H232)))</formula>
    </cfRule>
    <cfRule type="cellIs" dxfId="5047" priority="6677" operator="equal">
      <formula>"_"</formula>
    </cfRule>
  </conditionalFormatting>
  <conditionalFormatting sqref="H232:H233">
    <cfRule type="cellIs" dxfId="5046" priority="6739" operator="equal">
      <formula>"_"</formula>
    </cfRule>
    <cfRule type="containsText" dxfId="5045" priority="6740" operator="containsText" text="[pluk]">
      <formula>NOT(ISERROR(SEARCH("[pluk]",H232)))</formula>
    </cfRule>
    <cfRule type="containsText" dxfId="5044" priority="6741" operator="containsText" text="[adv]">
      <formula>NOT(ISERROR(SEARCH("[adv]",H232)))</formula>
    </cfRule>
    <cfRule type="containsText" dxfId="5043" priority="6742" operator="containsText" text="[pluk]">
      <formula>NOT(ISERROR(SEARCH("[pluk]",H232)))</formula>
    </cfRule>
    <cfRule type="cellIs" dxfId="5042" priority="6743" operator="equal">
      <formula>"_"</formula>
    </cfRule>
    <cfRule type="containsText" dxfId="5041" priority="6744" operator="containsText" text="[adv]">
      <formula>NOT(ISERROR(SEARCH("[adv]",H232)))</formula>
    </cfRule>
  </conditionalFormatting>
  <conditionalFormatting sqref="H236">
    <cfRule type="containsText" dxfId="5040" priority="6706" operator="containsText" text="[adv]">
      <formula>NOT(ISERROR(SEARCH("[adv]",H236)))</formula>
    </cfRule>
    <cfRule type="containsText" dxfId="5039" priority="6707" operator="containsText" text="[pluk]">
      <formula>NOT(ISERROR(SEARCH("[pluk]",H236)))</formula>
    </cfRule>
    <cfRule type="cellIs" dxfId="5038" priority="6708" operator="equal">
      <formula>"_"</formula>
    </cfRule>
    <cfRule type="containsText" dxfId="5037" priority="6709" operator="containsText" text="[pluk]">
      <formula>NOT(ISERROR(SEARCH("[pluk]",H236)))</formula>
    </cfRule>
    <cfRule type="cellIs" dxfId="5036" priority="6710" operator="equal">
      <formula>"_"</formula>
    </cfRule>
    <cfRule type="containsText" dxfId="5035" priority="6711" operator="containsText" text="[pluk]">
      <formula>NOT(ISERROR(SEARCH("[pluk]",H236)))</formula>
    </cfRule>
    <cfRule type="cellIs" dxfId="5034" priority="6712" operator="equal">
      <formula>"_"</formula>
    </cfRule>
    <cfRule type="containsText" dxfId="5033" priority="6713" operator="containsText" text="[pluk]">
      <formula>NOT(ISERROR(SEARCH("[pluk]",H236)))</formula>
    </cfRule>
    <cfRule type="containsText" dxfId="5032" priority="6714" operator="containsText" text="[adv]">
      <formula>NOT(ISERROR(SEARCH("[adv]",H236)))</formula>
    </cfRule>
    <cfRule type="containsText" dxfId="5031" priority="6715" operator="containsText" text="[pluk]">
      <formula>NOT(ISERROR(SEARCH("[pluk]",H236)))</formula>
    </cfRule>
    <cfRule type="cellIs" dxfId="5030" priority="6716" operator="equal">
      <formula>"_"</formula>
    </cfRule>
    <cfRule type="containsText" dxfId="5029" priority="6717" operator="containsText" text="[adv]">
      <formula>NOT(ISERROR(SEARCH("[adv]",H236)))</formula>
    </cfRule>
  </conditionalFormatting>
  <conditionalFormatting sqref="H237">
    <cfRule type="timePeriod" dxfId="5028" priority="6719" timePeriod="thisMonth">
      <formula>AND(MONTH(H237)=MONTH(TODAY()),YEAR(H237)=YEAR(TODAY()))</formula>
    </cfRule>
    <cfRule type="notContainsBlanks" dxfId="5027" priority="6720">
      <formula>LEN(TRIM(H237))&gt;0</formula>
    </cfRule>
    <cfRule type="notContainsBlanks" dxfId="5026" priority="6721">
      <formula>LEN(TRIM(H237))&gt;0</formula>
    </cfRule>
    <cfRule type="containsText" dxfId="5025" priority="6722" operator="containsText" text="[adv]">
      <formula>NOT(ISERROR(SEARCH("[adv]",H237)))</formula>
    </cfRule>
    <cfRule type="cellIs" dxfId="5024" priority="6723" operator="equal">
      <formula>"_"</formula>
    </cfRule>
    <cfRule type="containsText" dxfId="5023" priority="6724" operator="containsText" text="[pluk]">
      <formula>NOT(ISERROR(SEARCH("[pluk]",H237)))</formula>
    </cfRule>
    <cfRule type="notContainsBlanks" dxfId="5022" priority="6725">
      <formula>LEN(TRIM(H237))&gt;0</formula>
    </cfRule>
    <cfRule type="cellIs" dxfId="5021" priority="6726" operator="equal">
      <formula>"ID+"</formula>
    </cfRule>
    <cfRule type="cellIs" dxfId="5020" priority="6727" operator="equal">
      <formula>"HK*"</formula>
    </cfRule>
    <cfRule type="cellIs" dxfId="5019" priority="6728" operator="equal">
      <formula>"HK"</formula>
    </cfRule>
    <cfRule type="cellIs" dxfId="5018" priority="6729" operator="equal">
      <formula>"HK+"</formula>
    </cfRule>
    <cfRule type="cellIs" dxfId="5017" priority="6730" operator="equal">
      <formula>"ID"</formula>
    </cfRule>
    <cfRule type="cellIs" dxfId="5016" priority="6731" operator="equal">
      <formula>"ID*"</formula>
    </cfRule>
    <cfRule type="notContainsBlanks" dxfId="5015" priority="6732">
      <formula>LEN(TRIM(H237))&gt;0</formula>
    </cfRule>
  </conditionalFormatting>
  <conditionalFormatting sqref="H238">
    <cfRule type="containsText" dxfId="5014" priority="6696" operator="containsText" text="[pluk]">
      <formula>NOT(ISERROR(SEARCH("[pluk]",H238)))</formula>
    </cfRule>
  </conditionalFormatting>
  <conditionalFormatting sqref="H238:H239">
    <cfRule type="cellIs" dxfId="5013" priority="6697" operator="equal">
      <formula>"_"</formula>
    </cfRule>
  </conditionalFormatting>
  <conditionalFormatting sqref="H238:H240">
    <cfRule type="containsText" dxfId="5012" priority="6763" operator="containsText" text="[adv]">
      <formula>NOT(ISERROR(SEARCH("[adv]",H238)))</formula>
    </cfRule>
  </conditionalFormatting>
  <conditionalFormatting sqref="H239">
    <cfRule type="containsText" dxfId="5011" priority="6751" operator="containsText" text="[pluk]">
      <formula>NOT(ISERROR(SEARCH("[pluk]",H239)))</formula>
    </cfRule>
    <cfRule type="containsText" dxfId="5010" priority="6752" operator="containsText" text="[adv]">
      <formula>NOT(ISERROR(SEARCH("[adv]",H239)))</formula>
    </cfRule>
    <cfRule type="containsText" dxfId="5009" priority="6753" operator="containsText" text="[pluk]">
      <formula>NOT(ISERROR(SEARCH("[pluk]",H239)))</formula>
    </cfRule>
    <cfRule type="cellIs" dxfId="5008" priority="6754" operator="equal">
      <formula>"_"</formula>
    </cfRule>
    <cfRule type="containsText" dxfId="5007" priority="6755" operator="containsText" text="[adv]">
      <formula>NOT(ISERROR(SEARCH("[adv]",H239)))</formula>
    </cfRule>
    <cfRule type="containsText" dxfId="5006" priority="6756" operator="containsText" text="[pluk]">
      <formula>NOT(ISERROR(SEARCH("[pluk]",H239)))</formula>
    </cfRule>
    <cfRule type="cellIs" dxfId="5005" priority="6757" operator="equal">
      <formula>"_"</formula>
    </cfRule>
    <cfRule type="containsText" dxfId="5004" priority="6758" operator="containsText" text="[pluk]">
      <formula>NOT(ISERROR(SEARCH("[pluk]",H239)))</formula>
    </cfRule>
    <cfRule type="cellIs" dxfId="5003" priority="6759" operator="equal">
      <formula>"_"</formula>
    </cfRule>
    <cfRule type="containsText" dxfId="5002" priority="6760" operator="containsText" text="[pluk]">
      <formula>NOT(ISERROR(SEARCH("[pluk]",H239)))</formula>
    </cfRule>
    <cfRule type="cellIs" dxfId="5001" priority="6761" operator="equal">
      <formula>"_"</formula>
    </cfRule>
    <cfRule type="containsText" dxfId="5000" priority="6762" operator="containsText" text="[pluk]">
      <formula>NOT(ISERROR(SEARCH("[pluk]",H239)))</formula>
    </cfRule>
  </conditionalFormatting>
  <conditionalFormatting sqref="H240">
    <cfRule type="containsText" dxfId="4999" priority="6785" operator="containsText" text="[pluk]">
      <formula>NOT(ISERROR(SEARCH("[pluk]",H240)))</formula>
    </cfRule>
    <cfRule type="cellIs" dxfId="4998" priority="6786" operator="equal">
      <formula>"_"</formula>
    </cfRule>
    <cfRule type="containsText" dxfId="4997" priority="6787" operator="containsText" text="[pluk]">
      <formula>NOT(ISERROR(SEARCH("[pluk]",H240)))</formula>
    </cfRule>
    <cfRule type="cellIs" dxfId="4996" priority="6788" operator="equal">
      <formula>"_"</formula>
    </cfRule>
    <cfRule type="containsText" dxfId="4995" priority="6789" operator="containsText" text="[pluk]">
      <formula>NOT(ISERROR(SEARCH("[pluk]",H240)))</formula>
    </cfRule>
    <cfRule type="containsText" dxfId="4994" priority="6790" operator="containsText" text="[adv]">
      <formula>NOT(ISERROR(SEARCH("[adv]",H240)))</formula>
    </cfRule>
  </conditionalFormatting>
  <conditionalFormatting sqref="H246">
    <cfRule type="containsText" dxfId="4993" priority="6603" operator="containsText" text="[pluk]">
      <formula>NOT(ISERROR(SEARCH("[pluk]",H246)))</formula>
    </cfRule>
  </conditionalFormatting>
  <conditionalFormatting sqref="H254">
    <cfRule type="cellIs" dxfId="4992" priority="6620" operator="equal">
      <formula>"_"</formula>
    </cfRule>
  </conditionalFormatting>
  <conditionalFormatting sqref="H254:H256">
    <cfRule type="containsText" dxfId="4991" priority="6544" operator="containsText" text="[pluk]">
      <formula>NOT(ISERROR(SEARCH("[pluk]",H254)))</formula>
    </cfRule>
  </conditionalFormatting>
  <conditionalFormatting sqref="H256">
    <cfRule type="cellIs" dxfId="4990" priority="6613" operator="equal">
      <formula>"_"</formula>
    </cfRule>
    <cfRule type="containsText" dxfId="4989" priority="6614" operator="containsText" text="[pluk]">
      <formula>NOT(ISERROR(SEARCH("[pluk]",H256)))</formula>
    </cfRule>
    <cfRule type="containsText" dxfId="4988" priority="6615" operator="containsText" text="[adv]">
      <formula>NOT(ISERROR(SEARCH("[adv]",H256)))</formula>
    </cfRule>
    <cfRule type="containsText" dxfId="4987" priority="6616" operator="containsText" text="[pluk]">
      <formula>NOT(ISERROR(SEARCH("[pluk]",H256)))</formula>
    </cfRule>
    <cfRule type="cellIs" dxfId="4986" priority="6617" operator="equal">
      <formula>"_"</formula>
    </cfRule>
    <cfRule type="containsText" dxfId="4985" priority="6618" operator="containsText" text="[adv]">
      <formula>NOT(ISERROR(SEARCH("[adv]",H256)))</formula>
    </cfRule>
  </conditionalFormatting>
  <conditionalFormatting sqref="H260">
    <cfRule type="containsText" dxfId="4984" priority="6636" operator="containsText" text="[adv]">
      <formula>NOT(ISERROR(SEARCH("[adv]",H260)))</formula>
    </cfRule>
    <cfRule type="containsText" dxfId="4983" priority="6637" operator="containsText" text="[pluk]">
      <formula>NOT(ISERROR(SEARCH("[pluk]",H260)))</formula>
    </cfRule>
    <cfRule type="cellIs" dxfId="4982" priority="6638" operator="equal">
      <formula>"_"</formula>
    </cfRule>
    <cfRule type="containsText" dxfId="4981" priority="6639" operator="containsText" text="[pluk]">
      <formula>NOT(ISERROR(SEARCH("[pluk]",H260)))</formula>
    </cfRule>
    <cfRule type="cellIs" dxfId="4980" priority="6640" operator="equal">
      <formula>"_"</formula>
    </cfRule>
    <cfRule type="containsText" dxfId="4979" priority="6641" operator="containsText" text="[pluk]">
      <formula>NOT(ISERROR(SEARCH("[pluk]",H260)))</formula>
    </cfRule>
    <cfRule type="cellIs" dxfId="4978" priority="6642" operator="equal">
      <formula>"_"</formula>
    </cfRule>
    <cfRule type="containsText" dxfId="4977" priority="6643" operator="containsText" text="[pluk]">
      <formula>NOT(ISERROR(SEARCH("[pluk]",H260)))</formula>
    </cfRule>
    <cfRule type="containsText" dxfId="4976" priority="6644" operator="containsText" text="[adv]">
      <formula>NOT(ISERROR(SEARCH("[adv]",H260)))</formula>
    </cfRule>
  </conditionalFormatting>
  <conditionalFormatting sqref="H260:H261">
    <cfRule type="containsText" dxfId="4975" priority="6647" operator="containsText" text="[adv]">
      <formula>NOT(ISERROR(SEARCH("[adv]",H260)))</formula>
    </cfRule>
  </conditionalFormatting>
  <conditionalFormatting sqref="H261">
    <cfRule type="containsText" dxfId="4974" priority="6416" operator="containsText" text="[pluk]">
      <formula>NOT(ISERROR(SEARCH("[pluk]",H261)))</formula>
    </cfRule>
  </conditionalFormatting>
  <conditionalFormatting sqref="H262">
    <cfRule type="cellIs" dxfId="4973" priority="6621" operator="equal">
      <formula>"_"</formula>
    </cfRule>
    <cfRule type="containsText" dxfId="4972" priority="6622" operator="containsText" text="[pluk]">
      <formula>NOT(ISERROR(SEARCH("[pluk]",H262)))</formula>
    </cfRule>
    <cfRule type="containsText" dxfId="4971" priority="6623" operator="containsText" text="[adv]">
      <formula>NOT(ISERROR(SEARCH("[adv]",H262)))</formula>
    </cfRule>
    <cfRule type="containsText" dxfId="4970" priority="6624" operator="containsText" text="[pluk]">
      <formula>NOT(ISERROR(SEARCH("[pluk]",H262)))</formula>
    </cfRule>
    <cfRule type="cellIs" dxfId="4969" priority="6625" operator="equal">
      <formula>"_"</formula>
    </cfRule>
    <cfRule type="containsText" dxfId="4968" priority="6626" operator="containsText" text="[adv]">
      <formula>NOT(ISERROR(SEARCH("[adv]",H262)))</formula>
    </cfRule>
    <cfRule type="containsText" dxfId="4967" priority="6627" operator="containsText" text="[pluk]">
      <formula>NOT(ISERROR(SEARCH("[pluk]",H262)))</formula>
    </cfRule>
    <cfRule type="cellIs" dxfId="4966" priority="6628" operator="equal">
      <formula>"_"</formula>
    </cfRule>
    <cfRule type="containsText" dxfId="4965" priority="6629" operator="containsText" text="[pluk]">
      <formula>NOT(ISERROR(SEARCH("[pluk]",H262)))</formula>
    </cfRule>
    <cfRule type="cellIs" dxfId="4964" priority="6630" operator="equal">
      <formula>"_"</formula>
    </cfRule>
    <cfRule type="containsText" dxfId="4963" priority="6631" operator="containsText" text="[pluk]">
      <formula>NOT(ISERROR(SEARCH("[pluk]",H262)))</formula>
    </cfRule>
    <cfRule type="cellIs" dxfId="4962" priority="6632" operator="equal">
      <formula>"_"</formula>
    </cfRule>
    <cfRule type="containsText" dxfId="4961" priority="6633" operator="containsText" text="[pluk]">
      <formula>NOT(ISERROR(SEARCH("[pluk]",H262)))</formula>
    </cfRule>
    <cfRule type="containsText" dxfId="4960" priority="6634" operator="containsText" text="[adv]">
      <formula>NOT(ISERROR(SEARCH("[adv]",H262)))</formula>
    </cfRule>
  </conditionalFormatting>
  <conditionalFormatting sqref="H264">
    <cfRule type="containsText" dxfId="4959" priority="6596" operator="containsText" text="[adv]">
      <formula>NOT(ISERROR(SEARCH("[adv]",H264)))</formula>
    </cfRule>
    <cfRule type="containsText" dxfId="4958" priority="6597" operator="containsText" text="[pluk]">
      <formula>NOT(ISERROR(SEARCH("[pluk]",H264)))</formula>
    </cfRule>
    <cfRule type="cellIs" dxfId="4957" priority="6598" operator="equal">
      <formula>"_"</formula>
    </cfRule>
    <cfRule type="containsText" dxfId="4956" priority="6599" operator="containsText" text="[pluk]">
      <formula>NOT(ISERROR(SEARCH("[pluk]",H264)))</formula>
    </cfRule>
    <cfRule type="cellIs" dxfId="4955" priority="6600" operator="equal">
      <formula>"_"</formula>
    </cfRule>
    <cfRule type="containsText" dxfId="4954" priority="6601" operator="containsText" text="[pluk]">
      <formula>NOT(ISERROR(SEARCH("[pluk]",H264)))</formula>
    </cfRule>
    <cfRule type="containsText" dxfId="4953" priority="6602" operator="containsText" text="[adv]">
      <formula>NOT(ISERROR(SEARCH("[adv]",H264)))</formula>
    </cfRule>
  </conditionalFormatting>
  <conditionalFormatting sqref="H268">
    <cfRule type="containsText" dxfId="4952" priority="6570" operator="containsText" text="[pluk]">
      <formula>NOT(ISERROR(SEARCH("[pluk]",H268)))</formula>
    </cfRule>
  </conditionalFormatting>
  <conditionalFormatting sqref="H270">
    <cfRule type="containsText" dxfId="4951" priority="6358" operator="containsText" text="[pluk]">
      <formula>NOT(ISERROR(SEARCH("[pluk]",H270)))</formula>
    </cfRule>
    <cfRule type="cellIs" dxfId="4950" priority="6359" operator="equal">
      <formula>"_"</formula>
    </cfRule>
    <cfRule type="containsText" dxfId="4949" priority="6360" operator="containsText" text="[pluk]">
      <formula>NOT(ISERROR(SEARCH("[pluk]",H270)))</formula>
    </cfRule>
    <cfRule type="containsText" dxfId="4948" priority="6361" operator="containsText" text="[adv]">
      <formula>NOT(ISERROR(SEARCH("[adv]",H270)))</formula>
    </cfRule>
    <cfRule type="containsText" dxfId="4947" priority="6362" operator="containsText" text="[pluk]">
      <formula>NOT(ISERROR(SEARCH("[pluk]",H270)))</formula>
    </cfRule>
    <cfRule type="cellIs" dxfId="4946" priority="6363" operator="equal">
      <formula>"_"</formula>
    </cfRule>
    <cfRule type="containsText" dxfId="4945" priority="6364" operator="containsText" text="[adv]">
      <formula>NOT(ISERROR(SEARCH("[adv]",H270)))</formula>
    </cfRule>
  </conditionalFormatting>
  <conditionalFormatting sqref="H270:H271">
    <cfRule type="containsText" dxfId="4944" priority="6366" operator="containsText" text="[pluk]">
      <formula>NOT(ISERROR(SEARCH("[pluk]",H270)))</formula>
    </cfRule>
  </conditionalFormatting>
  <conditionalFormatting sqref="H276">
    <cfRule type="containsText" dxfId="4943" priority="6392" operator="containsText" text="[pluk]">
      <formula>NOT(ISERROR(SEARCH("[pluk]",H276)))</formula>
    </cfRule>
    <cfRule type="containsText" dxfId="4942" priority="6393" operator="containsText" text="[adv]">
      <formula>NOT(ISERROR(SEARCH("[adv]",H276)))</formula>
    </cfRule>
  </conditionalFormatting>
  <conditionalFormatting sqref="H279:H281">
    <cfRule type="cellIs" dxfId="4941" priority="6351" operator="equal">
      <formula>"_"</formula>
    </cfRule>
  </conditionalFormatting>
  <conditionalFormatting sqref="H280">
    <cfRule type="containsText" dxfId="4940" priority="6503" operator="containsText" text="[adv]">
      <formula>NOT(ISERROR(SEARCH("[adv]",H280)))</formula>
    </cfRule>
  </conditionalFormatting>
  <conditionalFormatting sqref="H281">
    <cfRule type="containsText" dxfId="4939" priority="6350" operator="containsText" text="[pluk]">
      <formula>NOT(ISERROR(SEARCH("[pluk]",H281)))</formula>
    </cfRule>
  </conditionalFormatting>
  <conditionalFormatting sqref="H284">
    <cfRule type="cellIs" dxfId="4938" priority="6419" operator="equal">
      <formula>"_"</formula>
    </cfRule>
  </conditionalFormatting>
  <conditionalFormatting sqref="H284:H285">
    <cfRule type="containsText" dxfId="4937" priority="6391" operator="containsText" text="[pluk]">
      <formula>NOT(ISERROR(SEARCH("[pluk]",H284)))</formula>
    </cfRule>
  </conditionalFormatting>
  <conditionalFormatting sqref="H285">
    <cfRule type="containsText" dxfId="4936" priority="6384" operator="containsText" text="[adv]">
      <formula>NOT(ISERROR(SEARCH("[adv]",H285)))</formula>
    </cfRule>
    <cfRule type="containsText" dxfId="4935" priority="6385" operator="containsText" text="[pluk]">
      <formula>NOT(ISERROR(SEARCH("[pluk]",H285)))</formula>
    </cfRule>
    <cfRule type="cellIs" dxfId="4934" priority="6386" operator="equal">
      <formula>"_"</formula>
    </cfRule>
    <cfRule type="containsText" dxfId="4933" priority="6387" operator="containsText" text="[pluk]">
      <formula>NOT(ISERROR(SEARCH("[pluk]",H285)))</formula>
    </cfRule>
    <cfRule type="cellIs" dxfId="4932" priority="6388" operator="equal">
      <formula>"_"</formula>
    </cfRule>
    <cfRule type="containsText" dxfId="4931" priority="6389" operator="containsText" text="[pluk]">
      <formula>NOT(ISERROR(SEARCH("[pluk]",H285)))</formula>
    </cfRule>
    <cfRule type="containsText" dxfId="4930" priority="6390" operator="containsText" text="[adv]">
      <formula>NOT(ISERROR(SEARCH("[adv]",H285)))</formula>
    </cfRule>
    <cfRule type="containsText" dxfId="4929" priority="6397" operator="containsText" text="[adv]">
      <formula>NOT(ISERROR(SEARCH("[adv]",H285)))</formula>
    </cfRule>
  </conditionalFormatting>
  <conditionalFormatting sqref="H289">
    <cfRule type="timePeriod" dxfId="4928" priority="6403" timePeriod="thisMonth">
      <formula>AND(MONTH(H289)=MONTH(TODAY()),YEAR(H289)=YEAR(TODAY()))</formula>
    </cfRule>
    <cfRule type="notContainsBlanks" dxfId="4927" priority="6404">
      <formula>LEN(TRIM(H289))&gt;0</formula>
    </cfRule>
    <cfRule type="notContainsBlanks" dxfId="4926" priority="6405">
      <formula>LEN(TRIM(H289))&gt;0</formula>
    </cfRule>
    <cfRule type="containsText" dxfId="4925" priority="6406" operator="containsText" text="[adv]">
      <formula>NOT(ISERROR(SEARCH("[adv]",H289)))</formula>
    </cfRule>
    <cfRule type="cellIs" dxfId="4924" priority="6407" operator="equal">
      <formula>"_"</formula>
    </cfRule>
    <cfRule type="notContainsBlanks" dxfId="4923" priority="6408">
      <formula>LEN(TRIM(H289))&gt;0</formula>
    </cfRule>
    <cfRule type="cellIs" dxfId="4922" priority="6409" operator="equal">
      <formula>"ID+"</formula>
    </cfRule>
    <cfRule type="cellIs" dxfId="4921" priority="6410" operator="equal">
      <formula>"HK*"</formula>
    </cfRule>
    <cfRule type="cellIs" dxfId="4920" priority="6411" operator="equal">
      <formula>"HK"</formula>
    </cfRule>
    <cfRule type="cellIs" dxfId="4919" priority="6412" operator="equal">
      <formula>"HK+"</formula>
    </cfRule>
    <cfRule type="cellIs" dxfId="4918" priority="6413" operator="equal">
      <formula>"ID"</formula>
    </cfRule>
    <cfRule type="cellIs" dxfId="4917" priority="6414" operator="equal">
      <formula>"ID*"</formula>
    </cfRule>
    <cfRule type="notContainsBlanks" dxfId="4916" priority="6415">
      <formula>LEN(TRIM(H289))&gt;0</formula>
    </cfRule>
  </conditionalFormatting>
  <conditionalFormatting sqref="H295">
    <cfRule type="cellIs" dxfId="4915" priority="6333" operator="equal">
      <formula>"_"</formula>
    </cfRule>
    <cfRule type="containsText" dxfId="4914" priority="6334" operator="containsText" text="[pluk]">
      <formula>NOT(ISERROR(SEARCH("[pluk]",H295)))</formula>
    </cfRule>
    <cfRule type="containsText" dxfId="4913" priority="6335" operator="containsText" text="[adv]">
      <formula>NOT(ISERROR(SEARCH("[adv]",H295)))</formula>
    </cfRule>
    <cfRule type="containsText" dxfId="4912" priority="6336" operator="containsText" text="[pluk]">
      <formula>NOT(ISERROR(SEARCH("[pluk]",H295)))</formula>
    </cfRule>
    <cfRule type="cellIs" dxfId="4911" priority="6337" operator="equal">
      <formula>"_"</formula>
    </cfRule>
    <cfRule type="containsText" dxfId="4910" priority="6338" operator="containsText" text="[adv]">
      <formula>NOT(ISERROR(SEARCH("[adv]",H295)))</formula>
    </cfRule>
    <cfRule type="containsText" dxfId="4909" priority="6339" operator="containsText" text="[pluk]">
      <formula>NOT(ISERROR(SEARCH("[pluk]",H295)))</formula>
    </cfRule>
    <cfRule type="cellIs" dxfId="4908" priority="6340" operator="equal">
      <formula>"_"</formula>
    </cfRule>
    <cfRule type="containsText" dxfId="4907" priority="6341" operator="containsText" text="[pluk]">
      <formula>NOT(ISERROR(SEARCH("[pluk]",H295)))</formula>
    </cfRule>
    <cfRule type="cellIs" dxfId="4906" priority="6342" operator="equal">
      <formula>"_"</formula>
    </cfRule>
    <cfRule type="containsText" dxfId="4905" priority="6343" operator="containsText" text="[pluk]">
      <formula>NOT(ISERROR(SEARCH("[pluk]",H295)))</formula>
    </cfRule>
    <cfRule type="cellIs" dxfId="4904" priority="6344" operator="equal">
      <formula>"_"</formula>
    </cfRule>
    <cfRule type="containsText" dxfId="4903" priority="6345" operator="containsText" text="[pluk]">
      <formula>NOT(ISERROR(SEARCH("[pluk]",H295)))</formula>
    </cfRule>
    <cfRule type="containsText" dxfId="4902" priority="6346" operator="containsText" text="[adv]">
      <formula>NOT(ISERROR(SEARCH("[adv]",H295)))</formula>
    </cfRule>
    <cfRule type="containsText" dxfId="4901" priority="6347" operator="containsText" text="[pluk]">
      <formula>NOT(ISERROR(SEARCH("[pluk]",H295)))</formula>
    </cfRule>
  </conditionalFormatting>
  <conditionalFormatting sqref="H300">
    <cfRule type="containsText" dxfId="4900" priority="6300" operator="containsText" text="[adv]">
      <formula>NOT(ISERROR(SEARCH("[adv]",H300)))</formula>
    </cfRule>
    <cfRule type="containsText" dxfId="4899" priority="6301" operator="containsText" text="[pluk]">
      <formula>NOT(ISERROR(SEARCH("[pluk]",H300)))</formula>
    </cfRule>
    <cfRule type="cellIs" dxfId="4898" priority="6302" operator="equal">
      <formula>"_"</formula>
    </cfRule>
    <cfRule type="containsText" dxfId="4897" priority="6303" operator="containsText" text="[pluk]">
      <formula>NOT(ISERROR(SEARCH("[pluk]",H300)))</formula>
    </cfRule>
    <cfRule type="cellIs" dxfId="4896" priority="6304" operator="equal">
      <formula>"_"</formula>
    </cfRule>
    <cfRule type="containsText" dxfId="4895" priority="6305" operator="containsText" text="[pluk]">
      <formula>NOT(ISERROR(SEARCH("[pluk]",H300)))</formula>
    </cfRule>
    <cfRule type="containsText" dxfId="4894" priority="6306" operator="containsText" text="[adv]">
      <formula>NOT(ISERROR(SEARCH("[adv]",H300)))</formula>
    </cfRule>
    <cfRule type="containsText" dxfId="4893" priority="6307" operator="containsText" text="[pluk]">
      <formula>NOT(ISERROR(SEARCH("[pluk]",H300)))</formula>
    </cfRule>
    <cfRule type="containsText" dxfId="4892" priority="6308" operator="containsText" text="[adv]">
      <formula>NOT(ISERROR(SEARCH("[adv]",H300)))</formula>
    </cfRule>
    <cfRule type="cellIs" dxfId="4891" priority="6369" operator="equal">
      <formula>"_"</formula>
    </cfRule>
    <cfRule type="containsText" dxfId="4890" priority="6370" operator="containsText" text="[pluk]">
      <formula>NOT(ISERROR(SEARCH("[pluk]",H300)))</formula>
    </cfRule>
    <cfRule type="containsText" dxfId="4889" priority="6371" operator="containsText" text="[adv]">
      <formula>NOT(ISERROR(SEARCH("[adv]",H300)))</formula>
    </cfRule>
    <cfRule type="containsText" dxfId="4888" priority="6372" operator="containsText" text="[pluk]">
      <formula>NOT(ISERROR(SEARCH("[pluk]",H300)))</formula>
    </cfRule>
    <cfRule type="cellIs" dxfId="4887" priority="6373" operator="equal">
      <formula>"_"</formula>
    </cfRule>
    <cfRule type="containsText" dxfId="4886" priority="6374" operator="containsText" text="[adv]">
      <formula>NOT(ISERROR(SEARCH("[adv]",H300)))</formula>
    </cfRule>
    <cfRule type="containsText" dxfId="4885" priority="6375" operator="containsText" text="[pluk]">
      <formula>NOT(ISERROR(SEARCH("[pluk]",H300)))</formula>
    </cfRule>
    <cfRule type="cellIs" dxfId="4884" priority="6376" operator="equal">
      <formula>"_"</formula>
    </cfRule>
    <cfRule type="containsText" dxfId="4883" priority="6377" operator="containsText" text="[pluk]">
      <formula>NOT(ISERROR(SEARCH("[pluk]",H300)))</formula>
    </cfRule>
    <cfRule type="cellIs" dxfId="4882" priority="6378" operator="equal">
      <formula>"_"</formula>
    </cfRule>
    <cfRule type="containsText" dxfId="4881" priority="6379" operator="containsText" text="[pluk]">
      <formula>NOT(ISERROR(SEARCH("[pluk]",H300)))</formula>
    </cfRule>
    <cfRule type="cellIs" dxfId="4880" priority="6380" operator="equal">
      <formula>"_"</formula>
    </cfRule>
    <cfRule type="containsText" dxfId="4879" priority="6381" operator="containsText" text="[pluk]">
      <formula>NOT(ISERROR(SEARCH("[pluk]",H300)))</formula>
    </cfRule>
    <cfRule type="containsText" dxfId="4878" priority="6382" operator="containsText" text="[adv]">
      <formula>NOT(ISERROR(SEARCH("[adv]",H300)))</formula>
    </cfRule>
  </conditionalFormatting>
  <conditionalFormatting sqref="H309">
    <cfRule type="containsText" dxfId="4877" priority="6299" operator="containsText" text="[pluk]">
      <formula>NOT(ISERROR(SEARCH("[pluk]",H309)))</formula>
    </cfRule>
  </conditionalFormatting>
  <conditionalFormatting sqref="H311:H312">
    <cfRule type="containsText" dxfId="4876" priority="6284" operator="containsText" text="[pluk]">
      <formula>NOT(ISERROR(SEARCH("[pluk]",H311)))</formula>
    </cfRule>
  </conditionalFormatting>
  <conditionalFormatting sqref="H317:H318">
    <cfRule type="containsText" dxfId="4875" priority="6231" operator="containsText" text="[pluk]">
      <formula>NOT(ISERROR(SEARCH("[pluk]",H317)))</formula>
    </cfRule>
    <cfRule type="cellIs" dxfId="4874" priority="6232" operator="equal">
      <formula>"_"</formula>
    </cfRule>
  </conditionalFormatting>
  <conditionalFormatting sqref="H318">
    <cfRule type="cellIs" dxfId="4873" priority="6230" operator="equal">
      <formula>"_"</formula>
    </cfRule>
  </conditionalFormatting>
  <conditionalFormatting sqref="H319:H321">
    <cfRule type="containsText" dxfId="4872" priority="6235" operator="containsText" text="[pluk]">
      <formula>NOT(ISERROR(SEARCH("[pluk]",H319)))</formula>
    </cfRule>
    <cfRule type="cellIs" dxfId="4871" priority="6236" operator="equal">
      <formula>"_"</formula>
    </cfRule>
  </conditionalFormatting>
  <conditionalFormatting sqref="H321">
    <cfRule type="cellIs" dxfId="4870" priority="6234" operator="equal">
      <formula>"_"</formula>
    </cfRule>
  </conditionalFormatting>
  <conditionalFormatting sqref="H326:H327">
    <cfRule type="containsText" dxfId="4869" priority="6228" operator="containsText" text="[pluk]">
      <formula>NOT(ISERROR(SEARCH("[pluk]",H326)))</formula>
    </cfRule>
    <cfRule type="cellIs" dxfId="4868" priority="6278" operator="equal">
      <formula>"_"</formula>
    </cfRule>
  </conditionalFormatting>
  <conditionalFormatting sqref="H333">
    <cfRule type="containsText" dxfId="4867" priority="6243" operator="containsText" text="[adv]">
      <formula>NOT(ISERROR(SEARCH("[adv]",H333)))</formula>
    </cfRule>
    <cfRule type="containsText" dxfId="4866" priority="6244" operator="containsText" text="[pluk]">
      <formula>NOT(ISERROR(SEARCH("[pluk]",H333)))</formula>
    </cfRule>
    <cfRule type="cellIs" dxfId="4865" priority="6245" operator="equal">
      <formula>"_"</formula>
    </cfRule>
    <cfRule type="containsText" dxfId="4864" priority="6246" operator="containsText" text="[pluk]">
      <formula>NOT(ISERROR(SEARCH("[pluk]",H333)))</formula>
    </cfRule>
    <cfRule type="cellIs" dxfId="4863" priority="6247" operator="equal">
      <formula>"_"</formula>
    </cfRule>
    <cfRule type="containsText" dxfId="4862" priority="6248" operator="containsText" text="[pluk]">
      <formula>NOT(ISERROR(SEARCH("[pluk]",H333)))</formula>
    </cfRule>
    <cfRule type="containsText" dxfId="4861" priority="6249" operator="containsText" text="[adv]">
      <formula>NOT(ISERROR(SEARCH("[adv]",H333)))</formula>
    </cfRule>
    <cfRule type="containsText" dxfId="4860" priority="6250" operator="containsText" text="[pluk]">
      <formula>NOT(ISERROR(SEARCH("[pluk]",H333)))</formula>
    </cfRule>
    <cfRule type="containsText" dxfId="4859" priority="6251" operator="containsText" text="[adv]">
      <formula>NOT(ISERROR(SEARCH("[adv]",H333)))</formula>
    </cfRule>
    <cfRule type="cellIs" dxfId="4858" priority="6256" operator="equal">
      <formula>"_"</formula>
    </cfRule>
    <cfRule type="containsText" dxfId="4857" priority="6257" operator="containsText" text="[pluk]">
      <formula>NOT(ISERROR(SEARCH("[pluk]",H333)))</formula>
    </cfRule>
    <cfRule type="containsText" dxfId="4856" priority="6258" operator="containsText" text="[adv]">
      <formula>NOT(ISERROR(SEARCH("[adv]",H333)))</formula>
    </cfRule>
    <cfRule type="containsText" dxfId="4855" priority="6259" operator="containsText" text="[pluk]">
      <formula>NOT(ISERROR(SEARCH("[pluk]",H333)))</formula>
    </cfRule>
    <cfRule type="cellIs" dxfId="4854" priority="6260" operator="equal">
      <formula>"_"</formula>
    </cfRule>
    <cfRule type="containsText" dxfId="4853" priority="6261" operator="containsText" text="[adv]">
      <formula>NOT(ISERROR(SEARCH("[adv]",H333)))</formula>
    </cfRule>
    <cfRule type="containsText" dxfId="4852" priority="6262" operator="containsText" text="[pluk]">
      <formula>NOT(ISERROR(SEARCH("[pluk]",H333)))</formula>
    </cfRule>
    <cfRule type="cellIs" dxfId="4851" priority="6263" operator="equal">
      <formula>"_"</formula>
    </cfRule>
    <cfRule type="containsText" dxfId="4850" priority="6264" operator="containsText" text="[pluk]">
      <formula>NOT(ISERROR(SEARCH("[pluk]",H333)))</formula>
    </cfRule>
    <cfRule type="cellIs" dxfId="4849" priority="6265" operator="equal">
      <formula>"_"</formula>
    </cfRule>
    <cfRule type="containsText" dxfId="4848" priority="6266" operator="containsText" text="[pluk]">
      <formula>NOT(ISERROR(SEARCH("[pluk]",H333)))</formula>
    </cfRule>
    <cfRule type="cellIs" dxfId="4847" priority="6267" operator="equal">
      <formula>"_"</formula>
    </cfRule>
    <cfRule type="containsText" dxfId="4846" priority="6268" operator="containsText" text="[pluk]">
      <formula>NOT(ISERROR(SEARCH("[pluk]",H333)))</formula>
    </cfRule>
    <cfRule type="containsText" dxfId="4845" priority="6269" operator="containsText" text="[adv]">
      <formula>NOT(ISERROR(SEARCH("[adv]",H333)))</formula>
    </cfRule>
  </conditionalFormatting>
  <conditionalFormatting sqref="H333:H335">
    <cfRule type="containsText" dxfId="4844" priority="6237" operator="containsText" text="[pluk]">
      <formula>NOT(ISERROR(SEARCH("[pluk]",H333)))</formula>
    </cfRule>
  </conditionalFormatting>
  <conditionalFormatting sqref="H334">
    <cfRule type="containsText" dxfId="4843" priority="6226" operator="containsText" text="[pluk]">
      <formula>NOT(ISERROR(SEARCH("[pluk]",H334)))</formula>
    </cfRule>
    <cfRule type="cellIs" dxfId="4842" priority="6227" operator="equal">
      <formula>"_"</formula>
    </cfRule>
  </conditionalFormatting>
  <conditionalFormatting sqref="H336">
    <cfRule type="containsText" dxfId="4841" priority="6224" operator="containsText" text="[pluk]">
      <formula>NOT(ISERROR(SEARCH("[pluk]",H336)))</formula>
    </cfRule>
    <cfRule type="cellIs" dxfId="4840" priority="6225" operator="equal">
      <formula>"_"</formula>
    </cfRule>
  </conditionalFormatting>
  <conditionalFormatting sqref="H345">
    <cfRule type="containsText" dxfId="4839" priority="6188" operator="containsText" text="[pluk]">
      <formula>NOT(ISERROR(SEARCH("[pluk]",H345)))</formula>
    </cfRule>
    <cfRule type="containsText" dxfId="4838" priority="6189" operator="containsText" text="[adv]">
      <formula>NOT(ISERROR(SEARCH("[adv]",H345)))</formula>
    </cfRule>
    <cfRule type="containsText" dxfId="4837" priority="6190" operator="containsText" text="[pluk]">
      <formula>NOT(ISERROR(SEARCH("[pluk]",H345)))</formula>
    </cfRule>
    <cfRule type="cellIs" dxfId="4836" priority="6191" operator="equal">
      <formula>"_"</formula>
    </cfRule>
    <cfRule type="containsText" dxfId="4835" priority="6192" operator="containsText" text="[pluk]">
      <formula>NOT(ISERROR(SEARCH("[pluk]",H345)))</formula>
    </cfRule>
    <cfRule type="cellIs" dxfId="4834" priority="6193" operator="equal">
      <formula>"_"</formula>
    </cfRule>
    <cfRule type="containsText" dxfId="4833" priority="6194" operator="containsText" text="[pluk]">
      <formula>NOT(ISERROR(SEARCH("[pluk]",H345)))</formula>
    </cfRule>
    <cfRule type="containsText" dxfId="4832" priority="6195" operator="containsText" text="[adv]">
      <formula>NOT(ISERROR(SEARCH("[adv]",H345)))</formula>
    </cfRule>
    <cfRule type="containsText" dxfId="4831" priority="6196" operator="containsText" text="[pluk]">
      <formula>NOT(ISERROR(SEARCH("[pluk]",H345)))</formula>
    </cfRule>
    <cfRule type="containsText" dxfId="4830" priority="6197" operator="containsText" text="[adv]">
      <formula>NOT(ISERROR(SEARCH("[adv]",H345)))</formula>
    </cfRule>
    <cfRule type="cellIs" dxfId="4829" priority="6198" operator="equal">
      <formula>"_"</formula>
    </cfRule>
    <cfRule type="containsText" dxfId="4828" priority="6199" operator="containsText" text="[adv]">
      <formula>NOT(ISERROR(SEARCH("[adv]",H345)))</formula>
    </cfRule>
    <cfRule type="containsText" dxfId="4827" priority="6200" operator="containsText" text="[pluk]">
      <formula>NOT(ISERROR(SEARCH("[pluk]",H345)))</formula>
    </cfRule>
    <cfRule type="cellIs" dxfId="4826" priority="6201" operator="equal">
      <formula>"_"</formula>
    </cfRule>
    <cfRule type="containsText" dxfId="4825" priority="6202" operator="containsText" text="[pluk]">
      <formula>NOT(ISERROR(SEARCH("[pluk]",H345)))</formula>
    </cfRule>
    <cfRule type="containsText" dxfId="4824" priority="6203" operator="containsText" text="[adv]">
      <formula>NOT(ISERROR(SEARCH("[adv]",H345)))</formula>
    </cfRule>
    <cfRule type="containsText" dxfId="4823" priority="6204" operator="containsText" text="[pluk]">
      <formula>NOT(ISERROR(SEARCH("[pluk]",H345)))</formula>
    </cfRule>
    <cfRule type="cellIs" dxfId="4822" priority="6205" operator="equal">
      <formula>"_"</formula>
    </cfRule>
    <cfRule type="containsText" dxfId="4821" priority="6206" operator="containsText" text="[adv]">
      <formula>NOT(ISERROR(SEARCH("[adv]",H345)))</formula>
    </cfRule>
    <cfRule type="containsText" dxfId="4820" priority="6207" operator="containsText" text="[pluk]">
      <formula>NOT(ISERROR(SEARCH("[pluk]",H345)))</formula>
    </cfRule>
    <cfRule type="cellIs" dxfId="4819" priority="6208" operator="equal">
      <formula>"_"</formula>
    </cfRule>
    <cfRule type="containsText" dxfId="4818" priority="6209" operator="containsText" text="[pluk]">
      <formula>NOT(ISERROR(SEARCH("[pluk]",H345)))</formula>
    </cfRule>
    <cfRule type="cellIs" dxfId="4817" priority="6210" operator="equal">
      <formula>"_"</formula>
    </cfRule>
    <cfRule type="containsText" dxfId="4816" priority="6211" operator="containsText" text="[pluk]">
      <formula>NOT(ISERROR(SEARCH("[pluk]",H345)))</formula>
    </cfRule>
    <cfRule type="cellIs" dxfId="4815" priority="6212" operator="equal">
      <formula>"_"</formula>
    </cfRule>
    <cfRule type="containsText" dxfId="4814" priority="6213" operator="containsText" text="[pluk]">
      <formula>NOT(ISERROR(SEARCH("[pluk]",H345)))</formula>
    </cfRule>
    <cfRule type="containsText" dxfId="4813" priority="6214" operator="containsText" text="[adv]">
      <formula>NOT(ISERROR(SEARCH("[adv]",H345)))</formula>
    </cfRule>
    <cfRule type="containsText" dxfId="4812" priority="6215" operator="containsText" text="[pluk]">
      <formula>NOT(ISERROR(SEARCH("[pluk]",H345)))</formula>
    </cfRule>
  </conditionalFormatting>
  <conditionalFormatting sqref="H352:H353">
    <cfRule type="containsText" dxfId="4811" priority="7647" operator="containsText" text="[adv]">
      <formula>NOT(ISERROR(SEARCH("[adv]",H352)))</formula>
    </cfRule>
    <cfRule type="containsText" dxfId="4810" priority="7648" operator="containsText" text="[pluk]">
      <formula>NOT(ISERROR(SEARCH("[pluk]",H352)))</formula>
    </cfRule>
    <cfRule type="cellIs" dxfId="4809" priority="7649" operator="equal">
      <formula>"_"</formula>
    </cfRule>
    <cfRule type="containsText" dxfId="4808" priority="7650" operator="containsText" text="[adv]">
      <formula>NOT(ISERROR(SEARCH("[adv]",H352)))</formula>
    </cfRule>
  </conditionalFormatting>
  <conditionalFormatting sqref="H364">
    <cfRule type="containsText" dxfId="4807" priority="6140" operator="containsText" text="[adv]">
      <formula>NOT(ISERROR(SEARCH("[adv]",H364)))</formula>
    </cfRule>
  </conditionalFormatting>
  <conditionalFormatting sqref="H365">
    <cfRule type="containsText" dxfId="4806" priority="6149" operator="containsText" text="[adv]">
      <formula>NOT(ISERROR(SEARCH("[adv]",H365)))</formula>
    </cfRule>
    <cfRule type="containsText" dxfId="4805" priority="6150" operator="containsText" text="[pluk]">
      <formula>NOT(ISERROR(SEARCH("[pluk]",H365)))</formula>
    </cfRule>
    <cfRule type="cellIs" dxfId="4804" priority="6151" operator="equal">
      <formula>"_"</formula>
    </cfRule>
    <cfRule type="containsText" dxfId="4803" priority="6152" operator="containsText" text="[adv]">
      <formula>NOT(ISERROR(SEARCH("[adv]",H365)))</formula>
    </cfRule>
  </conditionalFormatting>
  <conditionalFormatting sqref="H367:H369">
    <cfRule type="containsText" dxfId="4802" priority="6143" operator="containsText" text="[adv]">
      <formula>NOT(ISERROR(SEARCH("[adv]",H367)))</formula>
    </cfRule>
  </conditionalFormatting>
  <conditionalFormatting sqref="H373">
    <cfRule type="cellIs" dxfId="4801" priority="6144" operator="equal">
      <formula>"_"</formula>
    </cfRule>
    <cfRule type="containsText" dxfId="4800" priority="6145" operator="containsText" text="[adv]">
      <formula>NOT(ISERROR(SEARCH("[adv]",H373)))</formula>
    </cfRule>
  </conditionalFormatting>
  <conditionalFormatting sqref="H373:H375">
    <cfRule type="containsText" dxfId="4799" priority="6130" operator="containsText" text="[pluk]">
      <formula>NOT(ISERROR(SEARCH("[pluk]",H373)))</formula>
    </cfRule>
  </conditionalFormatting>
  <conditionalFormatting sqref="H382">
    <cfRule type="containsText" dxfId="4798" priority="6124" operator="containsText" text="[pluk]">
      <formula>NOT(ISERROR(SEARCH("[pluk]",H382)))</formula>
    </cfRule>
    <cfRule type="cellIs" dxfId="4797" priority="6125" operator="equal">
      <formula>"_"</formula>
    </cfRule>
  </conditionalFormatting>
  <conditionalFormatting sqref="H384">
    <cfRule type="containsText" dxfId="4796" priority="6112" operator="containsText" text="[pluk]">
      <formula>NOT(ISERROR(SEARCH("[pluk]",H384)))</formula>
    </cfRule>
    <cfRule type="cellIs" dxfId="4795" priority="6113" operator="equal">
      <formula>"_"</formula>
    </cfRule>
  </conditionalFormatting>
  <conditionalFormatting sqref="H384:H385">
    <cfRule type="containsText" dxfId="4794" priority="6114" operator="containsText" text="[pluk]">
      <formula>NOT(ISERROR(SEARCH("[pluk]",H384)))</formula>
    </cfRule>
  </conditionalFormatting>
  <conditionalFormatting sqref="H385">
    <cfRule type="cellIs" dxfId="4793" priority="6123" operator="equal">
      <formula>"_"</formula>
    </cfRule>
  </conditionalFormatting>
  <conditionalFormatting sqref="H389:H390">
    <cfRule type="cellIs" dxfId="4792" priority="7635" operator="equal">
      <formula>"_"</formula>
    </cfRule>
  </conditionalFormatting>
  <conditionalFormatting sqref="H390:H392">
    <cfRule type="containsText" dxfId="4791" priority="6054" operator="containsText" text="[pluk]">
      <formula>NOT(ISERROR(SEARCH("[pluk]",H390)))</formula>
    </cfRule>
  </conditionalFormatting>
  <conditionalFormatting sqref="H391:H392">
    <cfRule type="cellIs" dxfId="4790" priority="6055" operator="equal">
      <formula>"_"</formula>
    </cfRule>
  </conditionalFormatting>
  <conditionalFormatting sqref="H392">
    <cfRule type="containsText" dxfId="4789" priority="6135" operator="containsText" text="[adv]">
      <formula>NOT(ISERROR(SEARCH("[adv]",H392)))</formula>
    </cfRule>
  </conditionalFormatting>
  <conditionalFormatting sqref="H396:H397">
    <cfRule type="cellIs" dxfId="4788" priority="6052" operator="equal">
      <formula>"_"</formula>
    </cfRule>
  </conditionalFormatting>
  <conditionalFormatting sqref="H396:H400">
    <cfRule type="containsText" dxfId="4787" priority="6051" operator="containsText" text="[pluk]">
      <formula>NOT(ISERROR(SEARCH("[pluk]",H396)))</formula>
    </cfRule>
  </conditionalFormatting>
  <conditionalFormatting sqref="H399:H400">
    <cfRule type="cellIs" dxfId="4786" priority="6116" operator="equal">
      <formula>"_"</formula>
    </cfRule>
  </conditionalFormatting>
  <conditionalFormatting sqref="H412">
    <cfRule type="containsText" dxfId="4785" priority="6047" operator="containsText" text="[pluk]">
      <formula>NOT(ISERROR(SEARCH("[pluk]",H412)))</formula>
    </cfRule>
    <cfRule type="cellIs" dxfId="4784" priority="6048" operator="equal">
      <formula>"_"</formula>
    </cfRule>
  </conditionalFormatting>
  <conditionalFormatting sqref="H119:I119">
    <cfRule type="containsText" dxfId="4783" priority="7432" operator="containsText" text="[adv]">
      <formula>NOT(ISERROR(SEARCH("[adv]",H119)))</formula>
    </cfRule>
  </conditionalFormatting>
  <conditionalFormatting sqref="H173:I173">
    <cfRule type="cellIs" dxfId="4782" priority="7025" operator="equal">
      <formula>"_"</formula>
    </cfRule>
    <cfRule type="containsText" dxfId="4781" priority="7026" operator="containsText" text="[pluk]">
      <formula>NOT(ISERROR(SEARCH("[pluk]",H173)))</formula>
    </cfRule>
  </conditionalFormatting>
  <conditionalFormatting sqref="H101:L104 S102:S103 S108:S110 P108:P114 H110 G111:L111 E120 G120:L122 Q121:Q122 AC109:AC114 S121:S122 I116:L118 I112:L112 G127:H127 G136:L136 G150:H150 AC128:AC130 AE190:AJ194 S148:S154 G144:L146 S180:S185 S114 G129:L130 I143:L143 I153:L153 G154:L154 I167:L167 U167:X167 S191:S194 G113:L114 AB120:AC120 AC121:AC122 E129 G135 S157:S159 S166:S167 G178 U157:X159 U114:X114 U151:X154 U121:X122 U180:X186 U116:X119 G116:G117 S116:S119 AC116:AC119 U124:X130 AC124:AC125 S124:S130 Q124:Q130 G125:L126 Q132:Q138 S132:S138 U132:X138 AC132:AC134 U140:X146 S140:S146 Q140:Q146 Q148:Q154 G148:L148 Q156:Q162 Q164:Q170 Q172:Q178 Q180:Q186 Q188:Q194 U188:X194 U196:X200 Q196:Q200 S196:S200 AE196:AJ202 AE204:AJ210 AE212:AJ218 AE220:AJ226 AE228:AJ234 AE236:AJ242 AE244:AJ250 AE252:AJ258 AE260:AJ266 AE268:AJ274 AE276:AJ282 AE284:AJ290 AE292:AJ298 AE300:AJ306 G124 I124:L124">
    <cfRule type="cellIs" dxfId="4780" priority="7948" operator="equal">
      <formula>"_"</formula>
    </cfRule>
  </conditionalFormatting>
  <conditionalFormatting sqref="H113:L114 I116:L116">
    <cfRule type="containsText" dxfId="4779" priority="7491" operator="containsText" text="[pluk]">
      <formula>NOT(ISERROR(SEARCH("[pluk]",H113)))</formula>
    </cfRule>
  </conditionalFormatting>
  <conditionalFormatting sqref="H173:L173">
    <cfRule type="containsText" dxfId="4778" priority="7053" operator="containsText" text="[pluk]">
      <formula>NOT(ISERROR(SEARCH("[pluk]",H173)))</formula>
    </cfRule>
  </conditionalFormatting>
  <conditionalFormatting sqref="H181:L181">
    <cfRule type="containsText" dxfId="4777" priority="7117" operator="containsText" text="[pluk]">
      <formula>NOT(ISERROR(SEARCH("[pluk]",H181)))</formula>
    </cfRule>
  </conditionalFormatting>
  <conditionalFormatting sqref="H228:L228 H222:L226">
    <cfRule type="containsText" dxfId="4776" priority="6667" operator="containsText" text="[pluk]">
      <formula>NOT(ISERROR(SEARCH("[pluk]",H222)))</formula>
    </cfRule>
  </conditionalFormatting>
  <conditionalFormatting sqref="H260:L260 H252:L258 H239:L242 H244:L250">
    <cfRule type="containsText" dxfId="4775" priority="6645" operator="containsText" text="[pluk]">
      <formula>NOT(ISERROR(SEARCH("[pluk]",H239)))</formula>
    </cfRule>
  </conditionalFormatting>
  <conditionalFormatting sqref="H318:L318">
    <cfRule type="containsText" dxfId="4774" priority="6229" operator="containsText" text="[pluk]">
      <formula>NOT(ISERROR(SEARCH("[pluk]",H318)))</formula>
    </cfRule>
  </conditionalFormatting>
  <conditionalFormatting sqref="H321:L322">
    <cfRule type="containsText" dxfId="4773" priority="6233" operator="containsText" text="[pluk]">
      <formula>NOT(ISERROR(SEARCH("[pluk]",H321)))</formula>
    </cfRule>
  </conditionalFormatting>
  <conditionalFormatting sqref="H362:L362 H364:L364">
    <cfRule type="containsText" dxfId="4772" priority="6138" operator="containsText" text="[pluk]">
      <formula>NOT(ISERROR(SEARCH("[pluk]",H362)))</formula>
    </cfRule>
    <cfRule type="cellIs" dxfId="4771" priority="6139" operator="equal">
      <formula>"_"</formula>
    </cfRule>
  </conditionalFormatting>
  <conditionalFormatting sqref="H367:L370">
    <cfRule type="containsText" dxfId="4770" priority="6141" operator="containsText" text="[pluk]">
      <formula>NOT(ISERROR(SEARCH("[pluk]",H367)))</formula>
    </cfRule>
    <cfRule type="cellIs" dxfId="4769" priority="6142" operator="equal">
      <formula>"_"</formula>
    </cfRule>
  </conditionalFormatting>
  <conditionalFormatting sqref="H388:L393 H396:L396">
    <cfRule type="containsText" dxfId="4768" priority="6136" operator="containsText" text="[pluk]">
      <formula>NOT(ISERROR(SEARCH("[pluk]",H388)))</formula>
    </cfRule>
  </conditionalFormatting>
  <conditionalFormatting sqref="H392:L393 H394 J394:L394 H396:L396">
    <cfRule type="cellIs" dxfId="4767" priority="6137" operator="equal">
      <formula>"_"</formula>
    </cfRule>
  </conditionalFormatting>
  <conditionalFormatting sqref="H394:L394">
    <cfRule type="containsText" dxfId="4766" priority="5926" operator="containsText" text="[pluk]">
      <formula>NOT(ISERROR(SEARCH("[pluk]",H394)))</formula>
    </cfRule>
  </conditionalFormatting>
  <conditionalFormatting sqref="H397:L397">
    <cfRule type="containsText" dxfId="4765" priority="6049" operator="containsText" text="[pluk]">
      <formula>NOT(ISERROR(SEARCH("[pluk]",H397)))</formula>
    </cfRule>
    <cfRule type="cellIs" dxfId="4764" priority="6050" operator="equal">
      <formula>"_"</formula>
    </cfRule>
  </conditionalFormatting>
  <conditionalFormatting sqref="I78">
    <cfRule type="cellIs" dxfId="4763" priority="7562" operator="equal">
      <formula>"_"</formula>
    </cfRule>
    <cfRule type="timePeriod" dxfId="4762" priority="7563" timePeriod="thisMonth">
      <formula>AND(MONTH(I78)=MONTH(TODAY()),YEAR(I78)=YEAR(TODAY()))</formula>
    </cfRule>
  </conditionalFormatting>
  <conditionalFormatting sqref="I148">
    <cfRule type="timePeriod" dxfId="4761" priority="7105" timePeriod="thisMonth">
      <formula>AND(MONTH(I148)=MONTH(TODAY()),YEAR(I148)=YEAR(TODAY()))</formula>
    </cfRule>
  </conditionalFormatting>
  <conditionalFormatting sqref="I173">
    <cfRule type="timePeriod" dxfId="4760" priority="7027" timePeriod="thisMonth">
      <formula>AND(MONTH(I173)=MONTH(TODAY()),YEAR(I173)=YEAR(TODAY()))</formula>
    </cfRule>
  </conditionalFormatting>
  <conditionalFormatting sqref="I178">
    <cfRule type="cellIs" dxfId="4759" priority="7031" operator="equal">
      <formula>"_"</formula>
    </cfRule>
    <cfRule type="containsText" dxfId="4758" priority="7032" operator="containsText" text="[pluk]">
      <formula>NOT(ISERROR(SEARCH("[pluk]",I178)))</formula>
    </cfRule>
    <cfRule type="timePeriod" dxfId="4757" priority="7033" timePeriod="thisMonth">
      <formula>AND(MONTH(I178)=MONTH(TODAY()),YEAR(I178)=YEAR(TODAY()))</formula>
    </cfRule>
  </conditionalFormatting>
  <conditionalFormatting sqref="I209">
    <cfRule type="timePeriod" dxfId="4756" priority="6750" timePeriod="thisMonth">
      <formula>AND(MONTH(I209)=MONTH(TODAY()),YEAR(I209)=YEAR(TODAY()))</formula>
    </cfRule>
  </conditionalFormatting>
  <conditionalFormatting sqref="I209:I210">
    <cfRule type="cellIs" dxfId="4755" priority="6746" operator="equal">
      <formula>"_"</formula>
    </cfRule>
  </conditionalFormatting>
  <conditionalFormatting sqref="I210">
    <cfRule type="timePeriod" dxfId="4754" priority="6747" timePeriod="thisMonth">
      <formula>AND(MONTH(I210)=MONTH(TODAY()),YEAR(I210)=YEAR(TODAY()))</formula>
    </cfRule>
  </conditionalFormatting>
  <conditionalFormatting sqref="I241">
    <cfRule type="containsText" dxfId="4753" priority="6354" operator="containsText" text="[pluk]">
      <formula>NOT(ISERROR(SEARCH("[pluk]",I241)))</formula>
    </cfRule>
  </conditionalFormatting>
  <conditionalFormatting sqref="I328">
    <cfRule type="timePeriod" dxfId="4752" priority="6186" timePeriod="thisMonth">
      <formula>AND(MONTH(I328)=MONTH(TODAY()),YEAR(I328)=YEAR(TODAY()))</formula>
    </cfRule>
  </conditionalFormatting>
  <conditionalFormatting sqref="I394">
    <cfRule type="cellIs" dxfId="4751" priority="5927" operator="equal">
      <formula>"_"</formula>
    </cfRule>
  </conditionalFormatting>
  <conditionalFormatting sqref="I32:L34">
    <cfRule type="containsText" dxfId="4750" priority="7645" operator="containsText" text="[pluk]">
      <formula>NOT(ISERROR(SEARCH("[pluk]",I32)))</formula>
    </cfRule>
  </conditionalFormatting>
  <conditionalFormatting sqref="I33:L33">
    <cfRule type="cellIs" dxfId="4749" priority="7646" operator="equal">
      <formula>"_"</formula>
    </cfRule>
  </conditionalFormatting>
  <conditionalFormatting sqref="I40:L40">
    <cfRule type="cellIs" dxfId="4748" priority="7644" operator="equal">
      <formula>"_"</formula>
    </cfRule>
  </conditionalFormatting>
  <conditionalFormatting sqref="I40:L42">
    <cfRule type="containsText" dxfId="4747" priority="7643" operator="containsText" text="[pluk]">
      <formula>NOT(ISERROR(SEARCH("[pluk]",I40)))</formula>
    </cfRule>
  </conditionalFormatting>
  <conditionalFormatting sqref="I60:L62">
    <cfRule type="containsText" dxfId="4746" priority="7598" operator="containsText" text="[pluk]">
      <formula>NOT(ISERROR(SEARCH("[pluk]",I60)))</formula>
    </cfRule>
  </conditionalFormatting>
  <conditionalFormatting sqref="I68:L68">
    <cfRule type="cellIs" dxfId="4745" priority="7582" operator="equal">
      <formula>"_"</formula>
    </cfRule>
  </conditionalFormatting>
  <conditionalFormatting sqref="J1:J2">
    <cfRule type="notContainsBlanks" dxfId="4744" priority="6015">
      <formula>LEN(TRIM(J1))&gt;0</formula>
    </cfRule>
  </conditionalFormatting>
  <conditionalFormatting sqref="J76:J82">
    <cfRule type="notContainsBlanks" dxfId="4743" priority="4711">
      <formula>LEN(TRIM(J76))&gt;0</formula>
    </cfRule>
    <cfRule type="cellIs" dxfId="4742" priority="4712" operator="equal">
      <formula>"_"</formula>
    </cfRule>
    <cfRule type="timePeriod" dxfId="4741" priority="4713" timePeriod="thisMonth">
      <formula>AND(MONTH(J76)=MONTH(TODAY()),YEAR(J76)=YEAR(TODAY()))</formula>
    </cfRule>
    <cfRule type="notContainsBlanks" dxfId="4740" priority="4714">
      <formula>LEN(TRIM(J76))&gt;0</formula>
    </cfRule>
    <cfRule type="cellIs" dxfId="4739" priority="4715" operator="equal">
      <formula>"ID+"</formula>
    </cfRule>
    <cfRule type="cellIs" dxfId="4738" priority="4716" operator="equal">
      <formula>"HK*"</formula>
    </cfRule>
    <cfRule type="cellIs" dxfId="4737" priority="4717" operator="equal">
      <formula>"HK"</formula>
    </cfRule>
    <cfRule type="cellIs" dxfId="4736" priority="4718" operator="equal">
      <formula>"HK+"</formula>
    </cfRule>
    <cfRule type="cellIs" dxfId="4735" priority="4719" operator="equal">
      <formula>"ID"</formula>
    </cfRule>
    <cfRule type="cellIs" dxfId="4734" priority="4720" operator="equal">
      <formula>"ID*"</formula>
    </cfRule>
    <cfRule type="notContainsBlanks" dxfId="4733" priority="4721">
      <formula>LEN(TRIM(J76))&gt;0</formula>
    </cfRule>
    <cfRule type="containsText" dxfId="4732" priority="4722" operator="containsText" text="[adv]">
      <formula>NOT(ISERROR(SEARCH("[adv]",J76)))</formula>
    </cfRule>
  </conditionalFormatting>
  <conditionalFormatting sqref="J4:L10 N4:N10">
    <cfRule type="cellIs" dxfId="4731" priority="8037" operator="equal">
      <formula>"ID+"</formula>
    </cfRule>
    <cfRule type="cellIs" dxfId="4730" priority="8038" operator="equal">
      <formula>"HK*"</formula>
    </cfRule>
    <cfRule type="cellIs" dxfId="4729" priority="8039" operator="equal">
      <formula>"HK"</formula>
    </cfRule>
    <cfRule type="cellIs" dxfId="4728" priority="8040" operator="equal">
      <formula>"HK+"</formula>
    </cfRule>
    <cfRule type="cellIs" dxfId="4727" priority="8041" operator="equal">
      <formula>"ID"</formula>
    </cfRule>
    <cfRule type="cellIs" dxfId="4726" priority="8042" operator="equal">
      <formula>"ID*"</formula>
    </cfRule>
  </conditionalFormatting>
  <conditionalFormatting sqref="J12:L18 N12:N18">
    <cfRule type="cellIs" dxfId="4725" priority="9220" operator="equal">
      <formula>"ID+"</formula>
    </cfRule>
    <cfRule type="cellIs" dxfId="4724" priority="9223" operator="equal">
      <formula>"HK+"</formula>
    </cfRule>
    <cfRule type="cellIs" dxfId="4723" priority="9225" operator="equal">
      <formula>"ID*"</formula>
    </cfRule>
  </conditionalFormatting>
  <conditionalFormatting sqref="J20:L26 N20:N26">
    <cfRule type="cellIs" dxfId="4722" priority="9226" operator="equal">
      <formula>"ID+"</formula>
    </cfRule>
    <cfRule type="cellIs" dxfId="4721" priority="9229" operator="equal">
      <formula>"HK+"</formula>
    </cfRule>
    <cfRule type="cellIs" dxfId="4720" priority="9231" operator="equal">
      <formula>"ID*"</formula>
    </cfRule>
  </conditionalFormatting>
  <conditionalFormatting sqref="J28:L34 N28:N34">
    <cfRule type="cellIs" dxfId="4719" priority="9232" operator="equal">
      <formula>"ID+"</formula>
    </cfRule>
    <cfRule type="cellIs" dxfId="4718" priority="9235" operator="equal">
      <formula>"HK+"</formula>
    </cfRule>
    <cfRule type="cellIs" dxfId="4717" priority="9237" operator="equal">
      <formula>"ID*"</formula>
    </cfRule>
  </conditionalFormatting>
  <conditionalFormatting sqref="J36:L42 N36:N42">
    <cfRule type="cellIs" dxfId="4716" priority="9238" operator="equal">
      <formula>"ID+"</formula>
    </cfRule>
    <cfRule type="cellIs" dxfId="4715" priority="9241" operator="equal">
      <formula>"HK+"</formula>
    </cfRule>
    <cfRule type="cellIs" dxfId="4714" priority="9243" operator="equal">
      <formula>"ID*"</formula>
    </cfRule>
  </conditionalFormatting>
  <conditionalFormatting sqref="J44:L50 N44:N50">
    <cfRule type="cellIs" dxfId="4713" priority="9386" operator="equal">
      <formula>"ID+"</formula>
    </cfRule>
    <cfRule type="cellIs" dxfId="4712" priority="9387" operator="equal">
      <formula>"HK*"</formula>
    </cfRule>
    <cfRule type="cellIs" dxfId="4711" priority="9388" operator="equal">
      <formula>"HK"</formula>
    </cfRule>
    <cfRule type="cellIs" dxfId="4710" priority="9389" operator="equal">
      <formula>"HK+"</formula>
    </cfRule>
    <cfRule type="cellIs" dxfId="4709" priority="9390" operator="equal">
      <formula>"ID"</formula>
    </cfRule>
    <cfRule type="cellIs" dxfId="4708" priority="9391" operator="equal">
      <formula>"ID*"</formula>
    </cfRule>
  </conditionalFormatting>
  <conditionalFormatting sqref="J52:L58 N52:N58">
    <cfRule type="cellIs" dxfId="4707" priority="9380" operator="equal">
      <formula>"ID+"</formula>
    </cfRule>
    <cfRule type="cellIs" dxfId="4706" priority="9381" operator="equal">
      <formula>"HK*"</formula>
    </cfRule>
    <cfRule type="cellIs" dxfId="4705" priority="9382" operator="equal">
      <formula>"HK"</formula>
    </cfRule>
    <cfRule type="cellIs" dxfId="4704" priority="9383" operator="equal">
      <formula>"HK+"</formula>
    </cfRule>
    <cfRule type="cellIs" dxfId="4703" priority="9384" operator="equal">
      <formula>"ID"</formula>
    </cfRule>
    <cfRule type="cellIs" dxfId="4702" priority="9385" operator="equal">
      <formula>"ID*"</formula>
    </cfRule>
  </conditionalFormatting>
  <conditionalFormatting sqref="J60:L61">
    <cfRule type="notContainsBlanks" dxfId="4701" priority="9068">
      <formula>LEN(TRIM(J60))&gt;0</formula>
    </cfRule>
  </conditionalFormatting>
  <conditionalFormatting sqref="J60:L66 N60:N66">
    <cfRule type="cellIs" dxfId="4700" priority="9374" operator="equal">
      <formula>"ID+"</formula>
    </cfRule>
    <cfRule type="cellIs" dxfId="4699" priority="9375" operator="equal">
      <formula>"HK*"</formula>
    </cfRule>
    <cfRule type="cellIs" dxfId="4698" priority="9376" operator="equal">
      <formula>"HK"</formula>
    </cfRule>
    <cfRule type="cellIs" dxfId="4697" priority="9377" operator="equal">
      <formula>"HK+"</formula>
    </cfRule>
    <cfRule type="cellIs" dxfId="4696" priority="9378" operator="equal">
      <formula>"ID"</formula>
    </cfRule>
    <cfRule type="cellIs" dxfId="4695" priority="9379" operator="equal">
      <formula>"ID*"</formula>
    </cfRule>
  </conditionalFormatting>
  <conditionalFormatting sqref="J65:L66 N3:N75 Z3:Z75 AL3:AL75 Z83 AL83 Z91 AL91 Z99 AL99 Z107 AL107 Z115 AL115 Z123 AL123 Z131 AL131 Z139 AL139 Z147 AL147 Z155 AL155 Z163 AL163 Z171 AL171 Z179 AL179 Z187 AL187 Z195 AL195 Z203 AL203 Z211 AL211 Z219 AL219 Z227 AL227 Z235 AL235 Z243 AL243 Z251 AL251 Z259 AL259 Z267 AL267 Z275 AL275 Z283 AL283 Z291 AL291 Z299 AL299 Z307 AL307 Z315 AL315 Z323 AL323 Z331 AL331 Z339 AL339 Z347 AL347 Z355 AL355 Z363 AL363 Z371 AL371 Z379 AL379 Z387 AL387 N83:N1048576 Z395:Z420 AL395:AL420">
    <cfRule type="notContainsBlanks" dxfId="4694" priority="9364">
      <formula>LEN(TRIM(J3))&gt;0</formula>
    </cfRule>
  </conditionalFormatting>
  <conditionalFormatting sqref="J68:L74 N68:N74">
    <cfRule type="cellIs" dxfId="4693" priority="9371" operator="equal">
      <formula>"HK+"</formula>
    </cfRule>
    <cfRule type="cellIs" dxfId="4692" priority="9373" operator="equal">
      <formula>"ID*"</formula>
    </cfRule>
  </conditionalFormatting>
  <conditionalFormatting sqref="J76:L82">
    <cfRule type="containsText" dxfId="4691" priority="4710" operator="containsText" text="[pluk]">
      <formula>NOT(ISERROR(SEARCH("[pluk]",J76)))</formula>
    </cfRule>
  </conditionalFormatting>
  <conditionalFormatting sqref="J84:L90 J92:L98 J100:L106 J108:L114 J116:L122 J124:L130 J132:L138 J140:L146 J148:L154 J156:L162 J164:L170 J172:L178 J180:L186 J188:L194 J196:L202 J204:L210 J212:L218 J220:L226 J228:L234 J236:L242 J244:L250 J252:L258 J260:L266 J268:L274 J276:L282 J284:L290 J292:L298 J300:L306 J308:L314 J316:L322 J324:L330 J332:L338 J340:L346 J348:L354 J356:L362 J364:L370 J372:L378 J380:L386 J388:L394 J396:L402 J404:L410 J412:L418 G168:G169 N84:N90 N92:N98 N100:N106 N108:N114 N116:N122 N124:N130 N132:N138 N140:N146 N148:N154 N156:N162 N164:N170 N172:N178 N180:N186 N188:N194 N196:N202 N204:N210 N212:N218 N220:N226 N228:N234 N236:N242 N244:N250 N252:N258 N260:N266 N268:N274 N276:N282 N284:N290 N292:N298 N300:N306 N308:N314 N316:N322 N324:N330 N332:N338 N340:N346 N348:N354 N356:N362 N364:N370 N372:N378 N380:N386 N388:N394 N396:N402 N404:N410 N412:N418 J419:J1048576 J3:J75 V3:V75 AH3:AH75 J83 V83 AH83 J91 V91 AH91 J99 V99 AH99 J107 V107 AH107 J115 V115 AH115 J123 V123 AH123 J131 V131 AH131 J139 V139 AH139 J147 V147 AH147 J155 V155 AH155 J163 V163 AH163 J171 V171 AH171 J179 V179 AH179 J187 V187 AH187 J195 V195 AH195 J203 V203 AH203 J211 V211 AH211 J219 V219 AH219 J227 V227 AH227 J235 V235 AH235 J243 V243 AH243 J251 V251 AH251 J259 V259 AH259 J267 V267 AH267 J275 V275 AH275 J283 V283 AH283 J291 V291 AH291 J299 V299 AH299 J307 V307 AH307 J315 V315 AH315 J323 V323 AH323 J331 V331 AH331 J339 V339 AH339 J347 V347 AH347 J355 V355 AH355 J363 V363 AH363 J371 V371 AH371 J379 V379 AH379 J387 V387 AH387 J395 V395 AH395 J403 V403 AH403 J411 V411 AH411">
    <cfRule type="notContainsBlanks" dxfId="4690" priority="9367">
      <formula>LEN(TRIM(G3))&gt;0</formula>
    </cfRule>
  </conditionalFormatting>
  <conditionalFormatting sqref="J84:L90 N84:N90">
    <cfRule type="cellIs" dxfId="4689" priority="9126" operator="equal">
      <formula>"ID+"</formula>
    </cfRule>
    <cfRule type="cellIs" dxfId="4688" priority="9127" operator="equal">
      <formula>"HK*"</formula>
    </cfRule>
    <cfRule type="cellIs" dxfId="4687" priority="9128" operator="equal">
      <formula>"HK"</formula>
    </cfRule>
    <cfRule type="cellIs" dxfId="4686" priority="9129" operator="equal">
      <formula>"HK+"</formula>
    </cfRule>
    <cfRule type="cellIs" dxfId="4685" priority="9130" operator="equal">
      <formula>"ID"</formula>
    </cfRule>
    <cfRule type="cellIs" dxfId="4684" priority="9131" operator="equal">
      <formula>"ID*"</formula>
    </cfRule>
  </conditionalFormatting>
  <conditionalFormatting sqref="J84:L90">
    <cfRule type="notContainsBlanks" dxfId="4683" priority="9125">
      <formula>LEN(TRIM(J84))&gt;0</formula>
    </cfRule>
  </conditionalFormatting>
  <conditionalFormatting sqref="J92:L98 N92:N98">
    <cfRule type="notContainsBlanks" dxfId="4682" priority="9060">
      <formula>LEN(TRIM(J92))&gt;0</formula>
    </cfRule>
    <cfRule type="cellIs" dxfId="4681" priority="9061" operator="equal">
      <formula>"ID+"</formula>
    </cfRule>
    <cfRule type="cellIs" dxfId="4680" priority="9062" operator="equal">
      <formula>"HK*"</formula>
    </cfRule>
    <cfRule type="cellIs" dxfId="4679" priority="9063" operator="equal">
      <formula>"HK"</formula>
    </cfRule>
    <cfRule type="cellIs" dxfId="4678" priority="9064" operator="equal">
      <formula>"HK+"</formula>
    </cfRule>
    <cfRule type="cellIs" dxfId="4677" priority="9065" operator="equal">
      <formula>"ID"</formula>
    </cfRule>
    <cfRule type="cellIs" dxfId="4676" priority="9066" operator="equal">
      <formula>"ID*"</formula>
    </cfRule>
  </conditionalFormatting>
  <conditionalFormatting sqref="J100:L106 N100:N106">
    <cfRule type="notContainsBlanks" dxfId="4675" priority="9053">
      <formula>LEN(TRIM(J100))&gt;0</formula>
    </cfRule>
    <cfRule type="cellIs" dxfId="4674" priority="9054" operator="equal">
      <formula>"ID+"</formula>
    </cfRule>
    <cfRule type="cellIs" dxfId="4673" priority="9055" operator="equal">
      <formula>"HK*"</formula>
    </cfRule>
    <cfRule type="cellIs" dxfId="4672" priority="9056" operator="equal">
      <formula>"HK"</formula>
    </cfRule>
    <cfRule type="cellIs" dxfId="4671" priority="9057" operator="equal">
      <formula>"HK+"</formula>
    </cfRule>
    <cfRule type="cellIs" dxfId="4670" priority="9058" operator="equal">
      <formula>"ID"</formula>
    </cfRule>
    <cfRule type="cellIs" dxfId="4669" priority="9059" operator="equal">
      <formula>"ID*"</formula>
    </cfRule>
  </conditionalFormatting>
  <conditionalFormatting sqref="J108:L114 N108:N114">
    <cfRule type="notContainsBlanks" dxfId="4668" priority="9013">
      <formula>LEN(TRIM(J108))&gt;0</formula>
    </cfRule>
    <cfRule type="cellIs" dxfId="4667" priority="9014" operator="equal">
      <formula>"ID+"</formula>
    </cfRule>
    <cfRule type="cellIs" dxfId="4666" priority="9015" operator="equal">
      <formula>"HK*"</formula>
    </cfRule>
    <cfRule type="cellIs" dxfId="4665" priority="9016" operator="equal">
      <formula>"HK"</formula>
    </cfRule>
    <cfRule type="cellIs" dxfId="4664" priority="9017" operator="equal">
      <formula>"HK+"</formula>
    </cfRule>
    <cfRule type="cellIs" dxfId="4663" priority="9018" operator="equal">
      <formula>"ID"</formula>
    </cfRule>
    <cfRule type="cellIs" dxfId="4662" priority="9019" operator="equal">
      <formula>"ID*"</formula>
    </cfRule>
  </conditionalFormatting>
  <conditionalFormatting sqref="J116:L122 N116:N122">
    <cfRule type="notContainsBlanks" dxfId="4661" priority="9006">
      <formula>LEN(TRIM(J116))&gt;0</formula>
    </cfRule>
    <cfRule type="cellIs" dxfId="4660" priority="9007" operator="equal">
      <formula>"ID+"</formula>
    </cfRule>
    <cfRule type="cellIs" dxfId="4659" priority="9008" operator="equal">
      <formula>"HK*"</formula>
    </cfRule>
    <cfRule type="cellIs" dxfId="4658" priority="9009" operator="equal">
      <formula>"HK"</formula>
    </cfRule>
    <cfRule type="cellIs" dxfId="4657" priority="9010" operator="equal">
      <formula>"HK+"</formula>
    </cfRule>
    <cfRule type="cellIs" dxfId="4656" priority="9011" operator="equal">
      <formula>"ID"</formula>
    </cfRule>
    <cfRule type="cellIs" dxfId="4655" priority="9012" operator="equal">
      <formula>"ID*"</formula>
    </cfRule>
  </conditionalFormatting>
  <conditionalFormatting sqref="J124:L130 N124:N130">
    <cfRule type="notContainsBlanks" dxfId="4654" priority="8949">
      <formula>LEN(TRIM(J124))&gt;0</formula>
    </cfRule>
    <cfRule type="cellIs" dxfId="4653" priority="8950" operator="equal">
      <formula>"ID+"</formula>
    </cfRule>
    <cfRule type="cellIs" dxfId="4652" priority="8951" operator="equal">
      <formula>"HK*"</formula>
    </cfRule>
    <cfRule type="cellIs" dxfId="4651" priority="8952" operator="equal">
      <formula>"HK"</formula>
    </cfRule>
    <cfRule type="cellIs" dxfId="4650" priority="8953" operator="equal">
      <formula>"HK+"</formula>
    </cfRule>
    <cfRule type="cellIs" dxfId="4649" priority="8954" operator="equal">
      <formula>"ID"</formula>
    </cfRule>
    <cfRule type="cellIs" dxfId="4648" priority="8955" operator="equal">
      <formula>"ID*"</formula>
    </cfRule>
  </conditionalFormatting>
  <conditionalFormatting sqref="J132:L138 N132:N138">
    <cfRule type="notContainsBlanks" dxfId="4647" priority="8942">
      <formula>LEN(TRIM(J132))&gt;0</formula>
    </cfRule>
    <cfRule type="cellIs" dxfId="4646" priority="8943" operator="equal">
      <formula>"ID+"</formula>
    </cfRule>
    <cfRule type="cellIs" dxfId="4645" priority="8944" operator="equal">
      <formula>"HK*"</formula>
    </cfRule>
    <cfRule type="cellIs" dxfId="4644" priority="8945" operator="equal">
      <formula>"HK"</formula>
    </cfRule>
    <cfRule type="cellIs" dxfId="4643" priority="8946" operator="equal">
      <formula>"HK+"</formula>
    </cfRule>
    <cfRule type="cellIs" dxfId="4642" priority="8947" operator="equal">
      <formula>"ID"</formula>
    </cfRule>
    <cfRule type="cellIs" dxfId="4641" priority="8948" operator="equal">
      <formula>"ID*"</formula>
    </cfRule>
  </conditionalFormatting>
  <conditionalFormatting sqref="J140:L146 N140:N146">
    <cfRule type="notContainsBlanks" dxfId="4640" priority="8935">
      <formula>LEN(TRIM(J140))&gt;0</formula>
    </cfRule>
    <cfRule type="cellIs" dxfId="4639" priority="8936" operator="equal">
      <formula>"ID+"</formula>
    </cfRule>
    <cfRule type="cellIs" dxfId="4638" priority="8937" operator="equal">
      <formula>"HK*"</formula>
    </cfRule>
    <cfRule type="cellIs" dxfId="4637" priority="8938" operator="equal">
      <formula>"HK"</formula>
    </cfRule>
    <cfRule type="cellIs" dxfId="4636" priority="8939" operator="equal">
      <formula>"HK+"</formula>
    </cfRule>
    <cfRule type="cellIs" dxfId="4635" priority="8940" operator="equal">
      <formula>"ID"</formula>
    </cfRule>
    <cfRule type="cellIs" dxfId="4634" priority="8941" operator="equal">
      <formula>"ID*"</formula>
    </cfRule>
  </conditionalFormatting>
  <conditionalFormatting sqref="J148:L154 G168:G169">
    <cfRule type="notContainsBlanks" dxfId="4633" priority="9132">
      <formula>LEN(TRIM(G148))&gt;0</formula>
    </cfRule>
    <cfRule type="cellIs" dxfId="4632" priority="9133" operator="equal">
      <formula>"ID+"</formula>
    </cfRule>
    <cfRule type="cellIs" dxfId="4631" priority="9134" operator="equal">
      <formula>"HK*"</formula>
    </cfRule>
    <cfRule type="cellIs" dxfId="4630" priority="9135" operator="equal">
      <formula>"HK"</formula>
    </cfRule>
    <cfRule type="cellIs" dxfId="4629" priority="9136" operator="equal">
      <formula>"HK+"</formula>
    </cfRule>
    <cfRule type="cellIs" dxfId="4628" priority="9137" operator="equal">
      <formula>"ID"</formula>
    </cfRule>
    <cfRule type="cellIs" dxfId="4627" priority="9138" operator="equal">
      <formula>"ID*"</formula>
    </cfRule>
  </conditionalFormatting>
  <conditionalFormatting sqref="J156:L162 N156:N162">
    <cfRule type="notContainsBlanks" dxfId="4626" priority="8872">
      <formula>LEN(TRIM(J156))&gt;0</formula>
    </cfRule>
    <cfRule type="cellIs" dxfId="4625" priority="8873" operator="equal">
      <formula>"ID+"</formula>
    </cfRule>
    <cfRule type="cellIs" dxfId="4624" priority="8874" operator="equal">
      <formula>"HK*"</formula>
    </cfRule>
    <cfRule type="cellIs" dxfId="4623" priority="8875" operator="equal">
      <formula>"HK"</formula>
    </cfRule>
    <cfRule type="cellIs" dxfId="4622" priority="8876" operator="equal">
      <formula>"HK+"</formula>
    </cfRule>
    <cfRule type="cellIs" dxfId="4621" priority="8877" operator="equal">
      <formula>"ID"</formula>
    </cfRule>
    <cfRule type="cellIs" dxfId="4620" priority="8878" operator="equal">
      <formula>"ID*"</formula>
    </cfRule>
  </conditionalFormatting>
  <conditionalFormatting sqref="J164:L170 N164:N170">
    <cfRule type="notContainsBlanks" dxfId="4619" priority="8865">
      <formula>LEN(TRIM(J164))&gt;0</formula>
    </cfRule>
    <cfRule type="cellIs" dxfId="4618" priority="8866" operator="equal">
      <formula>"ID+"</formula>
    </cfRule>
    <cfRule type="cellIs" dxfId="4617" priority="8867" operator="equal">
      <formula>"HK*"</formula>
    </cfRule>
    <cfRule type="cellIs" dxfId="4616" priority="8868" operator="equal">
      <formula>"HK"</formula>
    </cfRule>
    <cfRule type="cellIs" dxfId="4615" priority="8869" operator="equal">
      <formula>"HK+"</formula>
    </cfRule>
    <cfRule type="cellIs" dxfId="4614" priority="8870" operator="equal">
      <formula>"ID"</formula>
    </cfRule>
    <cfRule type="cellIs" dxfId="4613" priority="8871" operator="equal">
      <formula>"ID*"</formula>
    </cfRule>
  </conditionalFormatting>
  <conditionalFormatting sqref="J172:L178 N172:N178">
    <cfRule type="notContainsBlanks" dxfId="4612" priority="8808">
      <formula>LEN(TRIM(J172))&gt;0</formula>
    </cfRule>
    <cfRule type="cellIs" dxfId="4611" priority="8809" operator="equal">
      <formula>"ID+"</formula>
    </cfRule>
    <cfRule type="cellIs" dxfId="4610" priority="8810" operator="equal">
      <formula>"HK*"</formula>
    </cfRule>
    <cfRule type="cellIs" dxfId="4609" priority="8811" operator="equal">
      <formula>"HK"</formula>
    </cfRule>
    <cfRule type="cellIs" dxfId="4608" priority="8812" operator="equal">
      <formula>"HK+"</formula>
    </cfRule>
    <cfRule type="cellIs" dxfId="4607" priority="8813" operator="equal">
      <formula>"ID"</formula>
    </cfRule>
    <cfRule type="cellIs" dxfId="4606" priority="8814" operator="equal">
      <formula>"ID*"</formula>
    </cfRule>
  </conditionalFormatting>
  <conditionalFormatting sqref="J180:L186 N180:N186">
    <cfRule type="notContainsBlanks" dxfId="4605" priority="8801">
      <formula>LEN(TRIM(J180))&gt;0</formula>
    </cfRule>
    <cfRule type="cellIs" dxfId="4604" priority="8802" operator="equal">
      <formula>"ID+"</formula>
    </cfRule>
    <cfRule type="cellIs" dxfId="4603" priority="8803" operator="equal">
      <formula>"HK*"</formula>
    </cfRule>
    <cfRule type="cellIs" dxfId="4602" priority="8804" operator="equal">
      <formula>"HK"</formula>
    </cfRule>
    <cfRule type="cellIs" dxfId="4601" priority="8805" operator="equal">
      <formula>"HK+"</formula>
    </cfRule>
    <cfRule type="cellIs" dxfId="4600" priority="8806" operator="equal">
      <formula>"ID"</formula>
    </cfRule>
    <cfRule type="cellIs" dxfId="4599" priority="8807" operator="equal">
      <formula>"ID*"</formula>
    </cfRule>
  </conditionalFormatting>
  <conditionalFormatting sqref="J188:L194 N188:N194">
    <cfRule type="notContainsBlanks" dxfId="4598" priority="8794">
      <formula>LEN(TRIM(J188))&gt;0</formula>
    </cfRule>
    <cfRule type="cellIs" dxfId="4597" priority="8795" operator="equal">
      <formula>"ID+"</formula>
    </cfRule>
    <cfRule type="cellIs" dxfId="4596" priority="8796" operator="equal">
      <formula>"HK*"</formula>
    </cfRule>
    <cfRule type="cellIs" dxfId="4595" priority="8797" operator="equal">
      <formula>"HK"</formula>
    </cfRule>
    <cfRule type="cellIs" dxfId="4594" priority="8798" operator="equal">
      <formula>"HK+"</formula>
    </cfRule>
    <cfRule type="cellIs" dxfId="4593" priority="8799" operator="equal">
      <formula>"ID"</formula>
    </cfRule>
    <cfRule type="cellIs" dxfId="4592" priority="8800" operator="equal">
      <formula>"ID*"</formula>
    </cfRule>
  </conditionalFormatting>
  <conditionalFormatting sqref="J196:L202 N196:N202">
    <cfRule type="notContainsBlanks" dxfId="4591" priority="8787">
      <formula>LEN(TRIM(J196))&gt;0</formula>
    </cfRule>
    <cfRule type="cellIs" dxfId="4590" priority="8788" operator="equal">
      <formula>"ID+"</formula>
    </cfRule>
    <cfRule type="cellIs" dxfId="4589" priority="8789" operator="equal">
      <formula>"HK*"</formula>
    </cfRule>
    <cfRule type="cellIs" dxfId="4588" priority="8790" operator="equal">
      <formula>"HK"</formula>
    </cfRule>
    <cfRule type="cellIs" dxfId="4587" priority="8791" operator="equal">
      <formula>"HK+"</formula>
    </cfRule>
    <cfRule type="cellIs" dxfId="4586" priority="8792" operator="equal">
      <formula>"ID"</formula>
    </cfRule>
    <cfRule type="cellIs" dxfId="4585" priority="8793" operator="equal">
      <formula>"ID*"</formula>
    </cfRule>
  </conditionalFormatting>
  <conditionalFormatting sqref="J204:L210 N204:N210">
    <cfRule type="notContainsBlanks" dxfId="4584" priority="8716">
      <formula>LEN(TRIM(J204))&gt;0</formula>
    </cfRule>
    <cfRule type="cellIs" dxfId="4583" priority="8717" operator="equal">
      <formula>"ID+"</formula>
    </cfRule>
    <cfRule type="cellIs" dxfId="4582" priority="8718" operator="equal">
      <formula>"HK*"</formula>
    </cfRule>
    <cfRule type="cellIs" dxfId="4581" priority="8719" operator="equal">
      <formula>"HK"</formula>
    </cfRule>
    <cfRule type="cellIs" dxfId="4580" priority="8720" operator="equal">
      <formula>"HK+"</formula>
    </cfRule>
    <cfRule type="cellIs" dxfId="4579" priority="8721" operator="equal">
      <formula>"ID"</formula>
    </cfRule>
    <cfRule type="cellIs" dxfId="4578" priority="8722" operator="equal">
      <formula>"ID*"</formula>
    </cfRule>
  </conditionalFormatting>
  <conditionalFormatting sqref="J212:L218 N212:N218">
    <cfRule type="notContainsBlanks" dxfId="4577" priority="8709">
      <formula>LEN(TRIM(J212))&gt;0</formula>
    </cfRule>
    <cfRule type="cellIs" dxfId="4576" priority="8710" operator="equal">
      <formula>"ID+"</formula>
    </cfRule>
    <cfRule type="cellIs" dxfId="4575" priority="8711" operator="equal">
      <formula>"HK*"</formula>
    </cfRule>
    <cfRule type="cellIs" dxfId="4574" priority="8712" operator="equal">
      <formula>"HK"</formula>
    </cfRule>
    <cfRule type="cellIs" dxfId="4573" priority="8713" operator="equal">
      <formula>"HK+"</formula>
    </cfRule>
    <cfRule type="cellIs" dxfId="4572" priority="8714" operator="equal">
      <formula>"ID"</formula>
    </cfRule>
    <cfRule type="cellIs" dxfId="4571" priority="8715" operator="equal">
      <formula>"ID*"</formula>
    </cfRule>
  </conditionalFormatting>
  <conditionalFormatting sqref="J220:L226 N220:N226">
    <cfRule type="notContainsBlanks" dxfId="4570" priority="8702">
      <formula>LEN(TRIM(J220))&gt;0</formula>
    </cfRule>
    <cfRule type="cellIs" dxfId="4569" priority="8703" operator="equal">
      <formula>"ID+"</formula>
    </cfRule>
    <cfRule type="cellIs" dxfId="4568" priority="8704" operator="equal">
      <formula>"HK*"</formula>
    </cfRule>
    <cfRule type="cellIs" dxfId="4567" priority="8705" operator="equal">
      <formula>"HK"</formula>
    </cfRule>
    <cfRule type="cellIs" dxfId="4566" priority="8706" operator="equal">
      <formula>"HK+"</formula>
    </cfRule>
    <cfRule type="cellIs" dxfId="4565" priority="8707" operator="equal">
      <formula>"ID"</formula>
    </cfRule>
    <cfRule type="cellIs" dxfId="4564" priority="8708" operator="equal">
      <formula>"ID*"</formula>
    </cfRule>
  </conditionalFormatting>
  <conditionalFormatting sqref="J228:L234 N228:N234">
    <cfRule type="notContainsBlanks" dxfId="4563" priority="8695">
      <formula>LEN(TRIM(J228))&gt;0</formula>
    </cfRule>
    <cfRule type="cellIs" dxfId="4562" priority="8696" operator="equal">
      <formula>"ID+"</formula>
    </cfRule>
    <cfRule type="cellIs" dxfId="4561" priority="8697" operator="equal">
      <formula>"HK*"</formula>
    </cfRule>
    <cfRule type="cellIs" dxfId="4560" priority="8698" operator="equal">
      <formula>"HK"</formula>
    </cfRule>
    <cfRule type="cellIs" dxfId="4559" priority="8699" operator="equal">
      <formula>"HK+"</formula>
    </cfRule>
    <cfRule type="cellIs" dxfId="4558" priority="8700" operator="equal">
      <formula>"ID"</formula>
    </cfRule>
    <cfRule type="cellIs" dxfId="4557" priority="8701" operator="equal">
      <formula>"ID*"</formula>
    </cfRule>
  </conditionalFormatting>
  <conditionalFormatting sqref="J236:L242 N236:N242">
    <cfRule type="notContainsBlanks" dxfId="4556" priority="8624">
      <formula>LEN(TRIM(J236))&gt;0</formula>
    </cfRule>
    <cfRule type="cellIs" dxfId="4555" priority="8625" operator="equal">
      <formula>"ID+"</formula>
    </cfRule>
    <cfRule type="cellIs" dxfId="4554" priority="8626" operator="equal">
      <formula>"HK*"</formula>
    </cfRule>
    <cfRule type="cellIs" dxfId="4553" priority="8627" operator="equal">
      <formula>"HK"</formula>
    </cfRule>
    <cfRule type="cellIs" dxfId="4552" priority="8628" operator="equal">
      <formula>"HK+"</formula>
    </cfRule>
    <cfRule type="cellIs" dxfId="4551" priority="8629" operator="equal">
      <formula>"ID"</formula>
    </cfRule>
    <cfRule type="cellIs" dxfId="4550" priority="8630" operator="equal">
      <formula>"ID*"</formula>
    </cfRule>
  </conditionalFormatting>
  <conditionalFormatting sqref="J244:L250 N244:N250">
    <cfRule type="notContainsBlanks" dxfId="4549" priority="8617">
      <formula>LEN(TRIM(J244))&gt;0</formula>
    </cfRule>
    <cfRule type="cellIs" dxfId="4548" priority="8618" operator="equal">
      <formula>"ID+"</formula>
    </cfRule>
    <cfRule type="cellIs" dxfId="4547" priority="8619" operator="equal">
      <formula>"HK*"</formula>
    </cfRule>
    <cfRule type="cellIs" dxfId="4546" priority="8620" operator="equal">
      <formula>"HK"</formula>
    </cfRule>
    <cfRule type="cellIs" dxfId="4545" priority="8621" operator="equal">
      <formula>"HK+"</formula>
    </cfRule>
    <cfRule type="cellIs" dxfId="4544" priority="8622" operator="equal">
      <formula>"ID"</formula>
    </cfRule>
    <cfRule type="cellIs" dxfId="4543" priority="8623" operator="equal">
      <formula>"ID*"</formula>
    </cfRule>
  </conditionalFormatting>
  <conditionalFormatting sqref="J252:L258 N252:N258">
    <cfRule type="notContainsBlanks" dxfId="4542" priority="8610">
      <formula>LEN(TRIM(J252))&gt;0</formula>
    </cfRule>
    <cfRule type="cellIs" dxfId="4541" priority="8611" operator="equal">
      <formula>"ID+"</formula>
    </cfRule>
    <cfRule type="cellIs" dxfId="4540" priority="8612" operator="equal">
      <formula>"HK*"</formula>
    </cfRule>
    <cfRule type="cellIs" dxfId="4539" priority="8613" operator="equal">
      <formula>"HK"</formula>
    </cfRule>
    <cfRule type="cellIs" dxfId="4538" priority="8614" operator="equal">
      <formula>"HK+"</formula>
    </cfRule>
    <cfRule type="cellIs" dxfId="4537" priority="8615" operator="equal">
      <formula>"ID"</formula>
    </cfRule>
    <cfRule type="cellIs" dxfId="4536" priority="8616" operator="equal">
      <formula>"ID*"</formula>
    </cfRule>
  </conditionalFormatting>
  <conditionalFormatting sqref="J260:L266 N260:N266">
    <cfRule type="notContainsBlanks" dxfId="4535" priority="8603">
      <formula>LEN(TRIM(J260))&gt;0</formula>
    </cfRule>
    <cfRule type="cellIs" dxfId="4534" priority="8604" operator="equal">
      <formula>"ID+"</formula>
    </cfRule>
    <cfRule type="cellIs" dxfId="4533" priority="8605" operator="equal">
      <formula>"HK*"</formula>
    </cfRule>
    <cfRule type="cellIs" dxfId="4532" priority="8606" operator="equal">
      <formula>"HK"</formula>
    </cfRule>
    <cfRule type="cellIs" dxfId="4531" priority="8607" operator="equal">
      <formula>"HK+"</formula>
    </cfRule>
    <cfRule type="cellIs" dxfId="4530" priority="8608" operator="equal">
      <formula>"ID"</formula>
    </cfRule>
    <cfRule type="cellIs" dxfId="4529" priority="8609" operator="equal">
      <formula>"ID*"</formula>
    </cfRule>
  </conditionalFormatting>
  <conditionalFormatting sqref="J268:L274 N268:N274">
    <cfRule type="notContainsBlanks" dxfId="4528" priority="8532">
      <formula>LEN(TRIM(J268))&gt;0</formula>
    </cfRule>
    <cfRule type="cellIs" dxfId="4527" priority="8533" operator="equal">
      <formula>"ID+"</formula>
    </cfRule>
    <cfRule type="cellIs" dxfId="4526" priority="8534" operator="equal">
      <formula>"HK*"</formula>
    </cfRule>
    <cfRule type="cellIs" dxfId="4525" priority="8535" operator="equal">
      <formula>"HK"</formula>
    </cfRule>
    <cfRule type="cellIs" dxfId="4524" priority="8536" operator="equal">
      <formula>"HK+"</formula>
    </cfRule>
    <cfRule type="cellIs" dxfId="4523" priority="8537" operator="equal">
      <formula>"ID"</formula>
    </cfRule>
    <cfRule type="cellIs" dxfId="4522" priority="8538" operator="equal">
      <formula>"ID*"</formula>
    </cfRule>
  </conditionalFormatting>
  <conditionalFormatting sqref="J276:L282 N276:N282">
    <cfRule type="notContainsBlanks" dxfId="4521" priority="8525">
      <formula>LEN(TRIM(J276))&gt;0</formula>
    </cfRule>
    <cfRule type="cellIs" dxfId="4520" priority="8526" operator="equal">
      <formula>"ID+"</formula>
    </cfRule>
    <cfRule type="cellIs" dxfId="4519" priority="8527" operator="equal">
      <formula>"HK*"</formula>
    </cfRule>
    <cfRule type="cellIs" dxfId="4518" priority="8528" operator="equal">
      <formula>"HK"</formula>
    </cfRule>
    <cfRule type="cellIs" dxfId="4517" priority="8529" operator="equal">
      <formula>"HK+"</formula>
    </cfRule>
    <cfRule type="cellIs" dxfId="4516" priority="8530" operator="equal">
      <formula>"ID"</formula>
    </cfRule>
    <cfRule type="cellIs" dxfId="4515" priority="8531" operator="equal">
      <formula>"ID*"</formula>
    </cfRule>
  </conditionalFormatting>
  <conditionalFormatting sqref="J284:L290 N284:N290">
    <cfRule type="notContainsBlanks" dxfId="4514" priority="8518">
      <formula>LEN(TRIM(J284))&gt;0</formula>
    </cfRule>
    <cfRule type="cellIs" dxfId="4513" priority="8519" operator="equal">
      <formula>"ID+"</formula>
    </cfRule>
    <cfRule type="cellIs" dxfId="4512" priority="8520" operator="equal">
      <formula>"HK*"</formula>
    </cfRule>
    <cfRule type="cellIs" dxfId="4511" priority="8521" operator="equal">
      <formula>"HK"</formula>
    </cfRule>
    <cfRule type="cellIs" dxfId="4510" priority="8522" operator="equal">
      <formula>"HK+"</formula>
    </cfRule>
    <cfRule type="cellIs" dxfId="4509" priority="8523" operator="equal">
      <formula>"ID"</formula>
    </cfRule>
    <cfRule type="cellIs" dxfId="4508" priority="8524" operator="equal">
      <formula>"ID*"</formula>
    </cfRule>
  </conditionalFormatting>
  <conditionalFormatting sqref="J292:L298 N292:N298">
    <cfRule type="notContainsBlanks" dxfId="4507" priority="8511">
      <formula>LEN(TRIM(J292))&gt;0</formula>
    </cfRule>
    <cfRule type="cellIs" dxfId="4506" priority="8512" operator="equal">
      <formula>"ID+"</formula>
    </cfRule>
    <cfRule type="cellIs" dxfId="4505" priority="8513" operator="equal">
      <formula>"HK*"</formula>
    </cfRule>
    <cfRule type="cellIs" dxfId="4504" priority="8514" operator="equal">
      <formula>"HK"</formula>
    </cfRule>
    <cfRule type="cellIs" dxfId="4503" priority="8515" operator="equal">
      <formula>"HK+"</formula>
    </cfRule>
    <cfRule type="cellIs" dxfId="4502" priority="8516" operator="equal">
      <formula>"ID"</formula>
    </cfRule>
    <cfRule type="cellIs" dxfId="4501" priority="8517" operator="equal">
      <formula>"ID*"</formula>
    </cfRule>
  </conditionalFormatting>
  <conditionalFormatting sqref="J300:L306 N300:N306">
    <cfRule type="notContainsBlanks" dxfId="4500" priority="8440">
      <formula>LEN(TRIM(J300))&gt;0</formula>
    </cfRule>
    <cfRule type="cellIs" dxfId="4499" priority="8441" operator="equal">
      <formula>"ID+"</formula>
    </cfRule>
    <cfRule type="cellIs" dxfId="4498" priority="8442" operator="equal">
      <formula>"HK*"</formula>
    </cfRule>
    <cfRule type="cellIs" dxfId="4497" priority="8443" operator="equal">
      <formula>"HK"</formula>
    </cfRule>
    <cfRule type="cellIs" dxfId="4496" priority="8444" operator="equal">
      <formula>"HK+"</formula>
    </cfRule>
    <cfRule type="cellIs" dxfId="4495" priority="8445" operator="equal">
      <formula>"ID"</formula>
    </cfRule>
    <cfRule type="cellIs" dxfId="4494" priority="8446" operator="equal">
      <formula>"ID*"</formula>
    </cfRule>
  </conditionalFormatting>
  <conditionalFormatting sqref="J308:L314 N308:N314">
    <cfRule type="notContainsBlanks" dxfId="4493" priority="8433">
      <formula>LEN(TRIM(J308))&gt;0</formula>
    </cfRule>
    <cfRule type="cellIs" dxfId="4492" priority="8434" operator="equal">
      <formula>"ID+"</formula>
    </cfRule>
    <cfRule type="cellIs" dxfId="4491" priority="8435" operator="equal">
      <formula>"HK*"</formula>
    </cfRule>
    <cfRule type="cellIs" dxfId="4490" priority="8436" operator="equal">
      <formula>"HK"</formula>
    </cfRule>
    <cfRule type="cellIs" dxfId="4489" priority="8437" operator="equal">
      <formula>"HK+"</formula>
    </cfRule>
    <cfRule type="cellIs" dxfId="4488" priority="8438" operator="equal">
      <formula>"ID"</formula>
    </cfRule>
    <cfRule type="cellIs" dxfId="4487" priority="8439" operator="equal">
      <formula>"ID*"</formula>
    </cfRule>
  </conditionalFormatting>
  <conditionalFormatting sqref="J316:L322 N316:N322">
    <cfRule type="notContainsBlanks" dxfId="4486" priority="8426">
      <formula>LEN(TRIM(J316))&gt;0</formula>
    </cfRule>
    <cfRule type="cellIs" dxfId="4485" priority="8427" operator="equal">
      <formula>"ID+"</formula>
    </cfRule>
    <cfRule type="cellIs" dxfId="4484" priority="8428" operator="equal">
      <formula>"HK*"</formula>
    </cfRule>
    <cfRule type="cellIs" dxfId="4483" priority="8429" operator="equal">
      <formula>"HK"</formula>
    </cfRule>
    <cfRule type="cellIs" dxfId="4482" priority="8430" operator="equal">
      <formula>"HK+"</formula>
    </cfRule>
    <cfRule type="cellIs" dxfId="4481" priority="8431" operator="equal">
      <formula>"ID"</formula>
    </cfRule>
    <cfRule type="cellIs" dxfId="4480" priority="8432" operator="equal">
      <formula>"ID*"</formula>
    </cfRule>
  </conditionalFormatting>
  <conditionalFormatting sqref="J324:L330 N324:N330">
    <cfRule type="notContainsBlanks" dxfId="4479" priority="8419">
      <formula>LEN(TRIM(J324))&gt;0</formula>
    </cfRule>
    <cfRule type="cellIs" dxfId="4478" priority="8420" operator="equal">
      <formula>"ID+"</formula>
    </cfRule>
    <cfRule type="cellIs" dxfId="4477" priority="8421" operator="equal">
      <formula>"HK*"</formula>
    </cfRule>
    <cfRule type="cellIs" dxfId="4476" priority="8422" operator="equal">
      <formula>"HK"</formula>
    </cfRule>
    <cfRule type="cellIs" dxfId="4475" priority="8423" operator="equal">
      <formula>"HK+"</formula>
    </cfRule>
    <cfRule type="cellIs" dxfId="4474" priority="8424" operator="equal">
      <formula>"ID"</formula>
    </cfRule>
    <cfRule type="cellIs" dxfId="4473" priority="8425" operator="equal">
      <formula>"ID*"</formula>
    </cfRule>
  </conditionalFormatting>
  <conditionalFormatting sqref="J332:L338 N332:N338">
    <cfRule type="notContainsBlanks" dxfId="4472" priority="8348">
      <formula>LEN(TRIM(J332))&gt;0</formula>
    </cfRule>
    <cfRule type="cellIs" dxfId="4471" priority="8349" operator="equal">
      <formula>"ID+"</formula>
    </cfRule>
    <cfRule type="cellIs" dxfId="4470" priority="8350" operator="equal">
      <formula>"HK*"</formula>
    </cfRule>
    <cfRule type="cellIs" dxfId="4469" priority="8351" operator="equal">
      <formula>"HK"</formula>
    </cfRule>
    <cfRule type="cellIs" dxfId="4468" priority="8352" operator="equal">
      <formula>"HK+"</formula>
    </cfRule>
    <cfRule type="cellIs" dxfId="4467" priority="8353" operator="equal">
      <formula>"ID"</formula>
    </cfRule>
    <cfRule type="cellIs" dxfId="4466" priority="8354" operator="equal">
      <formula>"ID*"</formula>
    </cfRule>
  </conditionalFormatting>
  <conditionalFormatting sqref="J340:L346 N340:N346">
    <cfRule type="notContainsBlanks" dxfId="4465" priority="8341">
      <formula>LEN(TRIM(J340))&gt;0</formula>
    </cfRule>
    <cfRule type="cellIs" dxfId="4464" priority="8342" operator="equal">
      <formula>"ID+"</formula>
    </cfRule>
    <cfRule type="cellIs" dxfId="4463" priority="8343" operator="equal">
      <formula>"HK*"</formula>
    </cfRule>
    <cfRule type="cellIs" dxfId="4462" priority="8344" operator="equal">
      <formula>"HK"</formula>
    </cfRule>
    <cfRule type="cellIs" dxfId="4461" priority="8345" operator="equal">
      <formula>"HK+"</formula>
    </cfRule>
    <cfRule type="cellIs" dxfId="4460" priority="8346" operator="equal">
      <formula>"ID"</formula>
    </cfRule>
    <cfRule type="cellIs" dxfId="4459" priority="8347" operator="equal">
      <formula>"ID*"</formula>
    </cfRule>
  </conditionalFormatting>
  <conditionalFormatting sqref="J348:L354 N348:N354">
    <cfRule type="notContainsBlanks" dxfId="4458" priority="8334">
      <formula>LEN(TRIM(J348))&gt;0</formula>
    </cfRule>
    <cfRule type="cellIs" dxfId="4457" priority="8335" operator="equal">
      <formula>"ID+"</formula>
    </cfRule>
    <cfRule type="cellIs" dxfId="4456" priority="8336" operator="equal">
      <formula>"HK*"</formula>
    </cfRule>
    <cfRule type="cellIs" dxfId="4455" priority="8337" operator="equal">
      <formula>"HK"</formula>
    </cfRule>
    <cfRule type="cellIs" dxfId="4454" priority="8338" operator="equal">
      <formula>"HK+"</formula>
    </cfRule>
    <cfRule type="cellIs" dxfId="4453" priority="8339" operator="equal">
      <formula>"ID"</formula>
    </cfRule>
    <cfRule type="cellIs" dxfId="4452" priority="8340" operator="equal">
      <formula>"ID*"</formula>
    </cfRule>
  </conditionalFormatting>
  <conditionalFormatting sqref="J356:L362 N356:N362">
    <cfRule type="notContainsBlanks" dxfId="4451" priority="8327">
      <formula>LEN(TRIM(J356))&gt;0</formula>
    </cfRule>
    <cfRule type="cellIs" dxfId="4450" priority="8328" operator="equal">
      <formula>"ID+"</formula>
    </cfRule>
    <cfRule type="cellIs" dxfId="4449" priority="8329" operator="equal">
      <formula>"HK*"</formula>
    </cfRule>
    <cfRule type="cellIs" dxfId="4448" priority="8330" operator="equal">
      <formula>"HK"</formula>
    </cfRule>
    <cfRule type="cellIs" dxfId="4447" priority="8331" operator="equal">
      <formula>"HK+"</formula>
    </cfRule>
    <cfRule type="cellIs" dxfId="4446" priority="8332" operator="equal">
      <formula>"ID"</formula>
    </cfRule>
    <cfRule type="cellIs" dxfId="4445" priority="8333" operator="equal">
      <formula>"ID*"</formula>
    </cfRule>
  </conditionalFormatting>
  <conditionalFormatting sqref="J364:L370 N364:N370">
    <cfRule type="notContainsBlanks" dxfId="4444" priority="8256">
      <formula>LEN(TRIM(J364))&gt;0</formula>
    </cfRule>
    <cfRule type="cellIs" dxfId="4443" priority="8257" operator="equal">
      <formula>"ID+"</formula>
    </cfRule>
    <cfRule type="cellIs" dxfId="4442" priority="8258" operator="equal">
      <formula>"HK*"</formula>
    </cfRule>
    <cfRule type="cellIs" dxfId="4441" priority="8259" operator="equal">
      <formula>"HK"</formula>
    </cfRule>
    <cfRule type="cellIs" dxfId="4440" priority="8260" operator="equal">
      <formula>"HK+"</formula>
    </cfRule>
    <cfRule type="cellIs" dxfId="4439" priority="8261" operator="equal">
      <formula>"ID"</formula>
    </cfRule>
    <cfRule type="cellIs" dxfId="4438" priority="8262" operator="equal">
      <formula>"ID*"</formula>
    </cfRule>
  </conditionalFormatting>
  <conditionalFormatting sqref="J372:L378 N372:N378">
    <cfRule type="notContainsBlanks" dxfId="4437" priority="8249">
      <formula>LEN(TRIM(J372))&gt;0</formula>
    </cfRule>
    <cfRule type="cellIs" dxfId="4436" priority="8250" operator="equal">
      <formula>"ID+"</formula>
    </cfRule>
    <cfRule type="cellIs" dxfId="4435" priority="8251" operator="equal">
      <formula>"HK*"</formula>
    </cfRule>
    <cfRule type="cellIs" dxfId="4434" priority="8252" operator="equal">
      <formula>"HK"</formula>
    </cfRule>
    <cfRule type="cellIs" dxfId="4433" priority="8253" operator="equal">
      <formula>"HK+"</formula>
    </cfRule>
    <cfRule type="cellIs" dxfId="4432" priority="8254" operator="equal">
      <formula>"ID"</formula>
    </cfRule>
    <cfRule type="cellIs" dxfId="4431" priority="8255" operator="equal">
      <formula>"ID*"</formula>
    </cfRule>
  </conditionalFormatting>
  <conditionalFormatting sqref="J380:L386 N380:N386">
    <cfRule type="notContainsBlanks" dxfId="4430" priority="8242">
      <formula>LEN(TRIM(J380))&gt;0</formula>
    </cfRule>
    <cfRule type="cellIs" dxfId="4429" priority="8243" operator="equal">
      <formula>"ID+"</formula>
    </cfRule>
    <cfRule type="cellIs" dxfId="4428" priority="8244" operator="equal">
      <formula>"HK*"</formula>
    </cfRule>
    <cfRule type="cellIs" dxfId="4427" priority="8245" operator="equal">
      <formula>"HK"</formula>
    </cfRule>
    <cfRule type="cellIs" dxfId="4426" priority="8246" operator="equal">
      <formula>"HK+"</formula>
    </cfRule>
    <cfRule type="cellIs" dxfId="4425" priority="8247" operator="equal">
      <formula>"ID"</formula>
    </cfRule>
    <cfRule type="cellIs" dxfId="4424" priority="8248" operator="equal">
      <formula>"ID*"</formula>
    </cfRule>
  </conditionalFormatting>
  <conditionalFormatting sqref="J388:L394 N388:N394">
    <cfRule type="notContainsBlanks" dxfId="4423" priority="8235">
      <formula>LEN(TRIM(J388))&gt;0</formula>
    </cfRule>
    <cfRule type="cellIs" dxfId="4422" priority="8236" operator="equal">
      <formula>"ID+"</formula>
    </cfRule>
    <cfRule type="cellIs" dxfId="4421" priority="8237" operator="equal">
      <formula>"HK*"</formula>
    </cfRule>
    <cfRule type="cellIs" dxfId="4420" priority="8238" operator="equal">
      <formula>"HK"</formula>
    </cfRule>
    <cfRule type="cellIs" dxfId="4419" priority="8239" operator="equal">
      <formula>"HK+"</formula>
    </cfRule>
    <cfRule type="cellIs" dxfId="4418" priority="8240" operator="equal">
      <formula>"ID"</formula>
    </cfRule>
    <cfRule type="cellIs" dxfId="4417" priority="8241" operator="equal">
      <formula>"ID*"</formula>
    </cfRule>
  </conditionalFormatting>
  <conditionalFormatting sqref="J396:L402 N396:N402">
    <cfRule type="notContainsBlanks" dxfId="4416" priority="8164">
      <formula>LEN(TRIM(J396))&gt;0</formula>
    </cfRule>
    <cfRule type="cellIs" dxfId="4415" priority="8165" operator="equal">
      <formula>"ID+"</formula>
    </cfRule>
    <cfRule type="cellIs" dxfId="4414" priority="8166" operator="equal">
      <formula>"HK*"</formula>
    </cfRule>
    <cfRule type="cellIs" dxfId="4413" priority="8167" operator="equal">
      <formula>"HK"</formula>
    </cfRule>
    <cfRule type="cellIs" dxfId="4412" priority="8168" operator="equal">
      <formula>"HK+"</formula>
    </cfRule>
    <cfRule type="cellIs" dxfId="4411" priority="8169" operator="equal">
      <formula>"ID"</formula>
    </cfRule>
    <cfRule type="cellIs" dxfId="4410" priority="8170" operator="equal">
      <formula>"ID*"</formula>
    </cfRule>
  </conditionalFormatting>
  <conditionalFormatting sqref="J404:L410 N404:N410">
    <cfRule type="notContainsBlanks" dxfId="4409" priority="8157">
      <formula>LEN(TRIM(J404))&gt;0</formula>
    </cfRule>
    <cfRule type="cellIs" dxfId="4408" priority="8158" operator="equal">
      <formula>"ID+"</formula>
    </cfRule>
    <cfRule type="cellIs" dxfId="4407" priority="8159" operator="equal">
      <formula>"HK*"</formula>
    </cfRule>
    <cfRule type="cellIs" dxfId="4406" priority="8160" operator="equal">
      <formula>"HK"</formula>
    </cfRule>
    <cfRule type="cellIs" dxfId="4405" priority="8161" operator="equal">
      <formula>"HK+"</formula>
    </cfRule>
    <cfRule type="cellIs" dxfId="4404" priority="8162" operator="equal">
      <formula>"ID"</formula>
    </cfRule>
    <cfRule type="cellIs" dxfId="4403" priority="8163" operator="equal">
      <formula>"ID*"</formula>
    </cfRule>
  </conditionalFormatting>
  <conditionalFormatting sqref="J412:L418 N412:N418">
    <cfRule type="notContainsBlanks" dxfId="4402" priority="8150">
      <formula>LEN(TRIM(J412))&gt;0</formula>
    </cfRule>
    <cfRule type="cellIs" dxfId="4401" priority="8151" operator="equal">
      <formula>"ID+"</formula>
    </cfRule>
    <cfRule type="cellIs" dxfId="4400" priority="8152" operator="equal">
      <formula>"HK*"</formula>
    </cfRule>
    <cfRule type="cellIs" dxfId="4399" priority="8153" operator="equal">
      <formula>"HK"</formula>
    </cfRule>
    <cfRule type="cellIs" dxfId="4398" priority="8154" operator="equal">
      <formula>"HK+"</formula>
    </cfRule>
    <cfRule type="cellIs" dxfId="4397" priority="8155" operator="equal">
      <formula>"ID"</formula>
    </cfRule>
    <cfRule type="cellIs" dxfId="4396" priority="8156" operator="equal">
      <formula>"ID*"</formula>
    </cfRule>
  </conditionalFormatting>
  <conditionalFormatting sqref="J422:L428 N422:N428">
    <cfRule type="cellIs" dxfId="4395" priority="9348" operator="equal">
      <formula>"ID+"</formula>
    </cfRule>
    <cfRule type="cellIs" dxfId="4394" priority="9351" operator="equal">
      <formula>"HK+"</formula>
    </cfRule>
    <cfRule type="cellIs" dxfId="4393" priority="9353" operator="equal">
      <formula>"ID*"</formula>
    </cfRule>
  </conditionalFormatting>
  <conditionalFormatting sqref="J430:L436 N430:N436">
    <cfRule type="cellIs" dxfId="4392" priority="9342" operator="equal">
      <formula>"ID+"</formula>
    </cfRule>
    <cfRule type="cellIs" dxfId="4391" priority="9345" operator="equal">
      <formula>"HK+"</formula>
    </cfRule>
    <cfRule type="cellIs" dxfId="4390" priority="9347" operator="equal">
      <formula>"ID*"</formula>
    </cfRule>
  </conditionalFormatting>
  <conditionalFormatting sqref="J438:L444 N438:N444">
    <cfRule type="cellIs" dxfId="4389" priority="9336" operator="equal">
      <formula>"ID+"</formula>
    </cfRule>
    <cfRule type="cellIs" dxfId="4388" priority="9339" operator="equal">
      <formula>"HK+"</formula>
    </cfRule>
    <cfRule type="cellIs" dxfId="4387" priority="9341" operator="equal">
      <formula>"ID*"</formula>
    </cfRule>
  </conditionalFormatting>
  <conditionalFormatting sqref="K1:K2 AI1:AI2 W1:W2">
    <cfRule type="notContainsBlanks" dxfId="4386" priority="6001">
      <formula>LEN(TRIM(K1))&gt;0</formula>
    </cfRule>
  </conditionalFormatting>
  <conditionalFormatting sqref="K1:K2">
    <cfRule type="notContainsBlanks" dxfId="4385" priority="6014">
      <formula>LEN(TRIM(K1))&gt;0</formula>
    </cfRule>
  </conditionalFormatting>
  <conditionalFormatting sqref="K3:K75 W3:W75 AI3:AI75 W83 AI83 W91 AI91 W99 AI99 W107 AI107 W115 AI115 W123 AI123 W131 AI131 W139 AI139 W147 AI147 W155 AI155 W163 AI163 W171 AI171 W179 AI179 W187 AI187 W195 AI195 W203 AI203 W211 AI211 W219 AI219 W227 AI227 W235 AI235 W243 AI243 W251 AI251 W259 AI259 W267 AI267 W275 AI275 W283 AI283 W291 AI291 W299 AI299 W307 AI307 W315 AI315 W323 AI323 W331 AI331 W339 AI339 W347 AI347 W355 AI355 W363 AI363 W371 AI371 W379 AI379 W387 AI387 K83:K1048576 W395:W420 AI395:AI420">
    <cfRule type="notContainsBlanks" dxfId="4384" priority="9366">
      <formula>LEN(TRIM(K3))&gt;0</formula>
    </cfRule>
  </conditionalFormatting>
  <conditionalFormatting sqref="K76:K82">
    <cfRule type="cellIs" dxfId="4383" priority="4736" operator="equal">
      <formula>"_"</formula>
    </cfRule>
    <cfRule type="timePeriod" dxfId="4382" priority="4737" timePeriod="thisMonth">
      <formula>AND(MONTH(K76)=MONTH(TODAY()),YEAR(K76)=YEAR(TODAY()))</formula>
    </cfRule>
    <cfRule type="notContainsBlanks" dxfId="4381" priority="4738">
      <formula>LEN(TRIM(K76))&gt;0</formula>
    </cfRule>
    <cfRule type="notContainsBlanks" dxfId="4380" priority="4739">
      <formula>LEN(TRIM(K76))&gt;0</formula>
    </cfRule>
    <cfRule type="cellIs" dxfId="4379" priority="4740" operator="equal">
      <formula>"ID+"</formula>
    </cfRule>
    <cfRule type="cellIs" dxfId="4378" priority="4741" operator="equal">
      <formula>"HK*"</formula>
    </cfRule>
    <cfRule type="cellIs" dxfId="4377" priority="4742" operator="equal">
      <formula>"HK"</formula>
    </cfRule>
    <cfRule type="cellIs" dxfId="4376" priority="4743" operator="equal">
      <formula>"HK+"</formula>
    </cfRule>
    <cfRule type="cellIs" dxfId="4375" priority="4744" operator="equal">
      <formula>"ID"</formula>
    </cfRule>
    <cfRule type="cellIs" dxfId="4374" priority="4745" operator="equal">
      <formula>"ID*"</formula>
    </cfRule>
    <cfRule type="notContainsBlanks" dxfId="4373" priority="4746">
      <formula>LEN(TRIM(K76))&gt;0</formula>
    </cfRule>
    <cfRule type="notContainsBlanks" dxfId="4372" priority="4747">
      <formula>LEN(TRIM(K76))&gt;0</formula>
    </cfRule>
    <cfRule type="containsText" dxfId="4371" priority="4748" operator="containsText" text="[adv]">
      <formula>NOT(ISERROR(SEARCH("[adv]",K76)))</formula>
    </cfRule>
  </conditionalFormatting>
  <conditionalFormatting sqref="L1:L2 X1:X2 AJ1:AJ2">
    <cfRule type="notContainsBlanks" dxfId="4370" priority="6000">
      <formula>LEN(TRIM(L1))&gt;0</formula>
    </cfRule>
  </conditionalFormatting>
  <conditionalFormatting sqref="L2">
    <cfRule type="notContainsBlanks" dxfId="4369" priority="6013">
      <formula>LEN(TRIM(L2))&gt;0</formula>
    </cfRule>
  </conditionalFormatting>
  <conditionalFormatting sqref="L76:L82">
    <cfRule type="cellIs" dxfId="4368" priority="4723" operator="equal">
      <formula>"_"</formula>
    </cfRule>
    <cfRule type="timePeriod" dxfId="4367" priority="4724" timePeriod="thisMonth">
      <formula>AND(MONTH(L76)=MONTH(TODAY()),YEAR(L76)=YEAR(TODAY()))</formula>
    </cfRule>
    <cfRule type="notContainsBlanks" dxfId="4366" priority="4725">
      <formula>LEN(TRIM(L76))&gt;0</formula>
    </cfRule>
    <cfRule type="notContainsBlanks" dxfId="4365" priority="4726">
      <formula>LEN(TRIM(L76))&gt;0</formula>
    </cfRule>
    <cfRule type="cellIs" dxfId="4364" priority="4727" operator="equal">
      <formula>"ID+"</formula>
    </cfRule>
    <cfRule type="cellIs" dxfId="4363" priority="4728" operator="equal">
      <formula>"HK*"</formula>
    </cfRule>
    <cfRule type="cellIs" dxfId="4362" priority="4729" operator="equal">
      <formula>"HK"</formula>
    </cfRule>
    <cfRule type="cellIs" dxfId="4361" priority="4730" operator="equal">
      <formula>"HK+"</formula>
    </cfRule>
    <cfRule type="cellIs" dxfId="4360" priority="4731" operator="equal">
      <formula>"ID"</formula>
    </cfRule>
    <cfRule type="cellIs" dxfId="4359" priority="4732" operator="equal">
      <formula>"ID*"</formula>
    </cfRule>
    <cfRule type="notContainsBlanks" dxfId="4358" priority="4733">
      <formula>LEN(TRIM(L76))&gt;0</formula>
    </cfRule>
    <cfRule type="notContainsBlanks" dxfId="4357" priority="4734">
      <formula>LEN(TRIM(L76))&gt;0</formula>
    </cfRule>
    <cfRule type="containsText" dxfId="4356" priority="4735" operator="containsText" text="[adv]">
      <formula>NOT(ISERROR(SEARCH("[adv]",L76)))</formula>
    </cfRule>
  </conditionalFormatting>
  <conditionalFormatting sqref="M76:M82">
    <cfRule type="notContainsBlanks" dxfId="4355" priority="4709">
      <formula>LEN(TRIM(M76))&gt;0</formula>
    </cfRule>
  </conditionalFormatting>
  <conditionalFormatting sqref="N1:N2">
    <cfRule type="notContainsBlanks" dxfId="4354" priority="6004">
      <formula>LEN(TRIM(N1))&gt;0</formula>
    </cfRule>
  </conditionalFormatting>
  <conditionalFormatting sqref="N12:N18 J12:L18">
    <cfRule type="cellIs" dxfId="4353" priority="9221" operator="equal">
      <formula>"HK*"</formula>
    </cfRule>
    <cfRule type="cellIs" dxfId="4352" priority="9222" operator="equal">
      <formula>"HK"</formula>
    </cfRule>
    <cfRule type="cellIs" dxfId="4351" priority="9224" operator="equal">
      <formula>"ID"</formula>
    </cfRule>
  </conditionalFormatting>
  <conditionalFormatting sqref="N20:N26 J20:L26">
    <cfRule type="cellIs" dxfId="4350" priority="9227" operator="equal">
      <formula>"HK*"</formula>
    </cfRule>
    <cfRule type="cellIs" dxfId="4349" priority="9228" operator="equal">
      <formula>"HK"</formula>
    </cfRule>
    <cfRule type="cellIs" dxfId="4348" priority="9230" operator="equal">
      <formula>"ID"</formula>
    </cfRule>
  </conditionalFormatting>
  <conditionalFormatting sqref="N28:N34 J28:L34">
    <cfRule type="cellIs" dxfId="4347" priority="9233" operator="equal">
      <formula>"HK*"</formula>
    </cfRule>
    <cfRule type="cellIs" dxfId="4346" priority="9234" operator="equal">
      <formula>"HK"</formula>
    </cfRule>
    <cfRule type="cellIs" dxfId="4345" priority="9236" operator="equal">
      <formula>"ID"</formula>
    </cfRule>
  </conditionalFormatting>
  <conditionalFormatting sqref="N36:N42 J36:L42">
    <cfRule type="cellIs" dxfId="4344" priority="9239" operator="equal">
      <formula>"HK*"</formula>
    </cfRule>
    <cfRule type="cellIs" dxfId="4343" priority="9240" operator="equal">
      <formula>"HK"</formula>
    </cfRule>
    <cfRule type="cellIs" dxfId="4342" priority="9242" operator="equal">
      <formula>"ID"</formula>
    </cfRule>
  </conditionalFormatting>
  <conditionalFormatting sqref="N68:N74 J68:L74">
    <cfRule type="cellIs" dxfId="4341" priority="9368" operator="equal">
      <formula>"ID+"</formula>
    </cfRule>
    <cfRule type="cellIs" dxfId="4340" priority="9369" operator="equal">
      <formula>"HK*"</formula>
    </cfRule>
    <cfRule type="cellIs" dxfId="4339" priority="9370" operator="equal">
      <formula>"HK"</formula>
    </cfRule>
    <cfRule type="cellIs" dxfId="4338" priority="9372" operator="equal">
      <formula>"ID"</formula>
    </cfRule>
  </conditionalFormatting>
  <conditionalFormatting sqref="N76:N82">
    <cfRule type="containsText" dxfId="4337" priority="4696" operator="containsText" text="[pluk]">
      <formula>NOT(ISERROR(SEARCH("[pluk]",N76)))</formula>
    </cfRule>
    <cfRule type="cellIs" dxfId="4336" priority="4697" operator="equal">
      <formula>"_"</formula>
    </cfRule>
    <cfRule type="timePeriod" dxfId="4335" priority="4698" timePeriod="thisMonth">
      <formula>AND(MONTH(N76)=MONTH(TODAY()),YEAR(N76)=YEAR(TODAY()))</formula>
    </cfRule>
    <cfRule type="notContainsBlanks" dxfId="4334" priority="4699">
      <formula>LEN(TRIM(N76))&gt;0</formula>
    </cfRule>
    <cfRule type="cellIs" dxfId="4333" priority="4700" operator="equal">
      <formula>"ID+"</formula>
    </cfRule>
    <cfRule type="cellIs" dxfId="4332" priority="4701" operator="equal">
      <formula>"HK*"</formula>
    </cfRule>
    <cfRule type="cellIs" dxfId="4331" priority="4702" operator="equal">
      <formula>"HK"</formula>
    </cfRule>
    <cfRule type="cellIs" dxfId="4330" priority="4703" operator="equal">
      <formula>"HK+"</formula>
    </cfRule>
    <cfRule type="cellIs" dxfId="4329" priority="4704" operator="equal">
      <formula>"ID"</formula>
    </cfRule>
    <cfRule type="cellIs" dxfId="4328" priority="4705" operator="equal">
      <formula>"ID*"</formula>
    </cfRule>
    <cfRule type="notContainsBlanks" dxfId="4327" priority="4706">
      <formula>LEN(TRIM(N76))&gt;0</formula>
    </cfRule>
    <cfRule type="notContainsBlanks" dxfId="4326" priority="4707">
      <formula>LEN(TRIM(N76))&gt;0</formula>
    </cfRule>
    <cfRule type="containsText" dxfId="4325" priority="4708" operator="containsText" text="[adv]">
      <formula>NOT(ISERROR(SEARCH("[adv]",N76)))</formula>
    </cfRule>
  </conditionalFormatting>
  <conditionalFormatting sqref="N148:N154">
    <cfRule type="notContainsBlanks" dxfId="4324" priority="8879">
      <formula>LEN(TRIM(N148))&gt;0</formula>
    </cfRule>
    <cfRule type="cellIs" dxfId="4323" priority="8880" operator="equal">
      <formula>"ID+"</formula>
    </cfRule>
    <cfRule type="cellIs" dxfId="4322" priority="8881" operator="equal">
      <formula>"HK*"</formula>
    </cfRule>
    <cfRule type="cellIs" dxfId="4321" priority="8882" operator="equal">
      <formula>"HK"</formula>
    </cfRule>
    <cfRule type="cellIs" dxfId="4320" priority="8883" operator="equal">
      <formula>"HK+"</formula>
    </cfRule>
    <cfRule type="cellIs" dxfId="4319" priority="8884" operator="equal">
      <formula>"ID"</formula>
    </cfRule>
    <cfRule type="cellIs" dxfId="4318" priority="8885" operator="equal">
      <formula>"ID*"</formula>
    </cfRule>
  </conditionalFormatting>
  <conditionalFormatting sqref="N422:N428 J422:L428">
    <cfRule type="cellIs" dxfId="4317" priority="9349" operator="equal">
      <formula>"HK*"</formula>
    </cfRule>
    <cfRule type="cellIs" dxfId="4316" priority="9350" operator="equal">
      <formula>"HK"</formula>
    </cfRule>
    <cfRule type="cellIs" dxfId="4315" priority="9352" operator="equal">
      <formula>"ID"</formula>
    </cfRule>
  </conditionalFormatting>
  <conditionalFormatting sqref="N430:N436 J430:L436">
    <cfRule type="cellIs" dxfId="4314" priority="9343" operator="equal">
      <formula>"HK*"</formula>
    </cfRule>
    <cfRule type="cellIs" dxfId="4313" priority="9344" operator="equal">
      <formula>"HK"</formula>
    </cfRule>
    <cfRule type="cellIs" dxfId="4312" priority="9346" operator="equal">
      <formula>"ID"</formula>
    </cfRule>
  </conditionalFormatting>
  <conditionalFormatting sqref="N438:N444 J438:L444">
    <cfRule type="cellIs" dxfId="4311" priority="9337" operator="equal">
      <formula>"HK*"</formula>
    </cfRule>
    <cfRule type="cellIs" dxfId="4310" priority="9338" operator="equal">
      <formula>"HK"</formula>
    </cfRule>
    <cfRule type="cellIs" dxfId="4309" priority="9340" operator="equal">
      <formula>"ID"</formula>
    </cfRule>
  </conditionalFormatting>
  <conditionalFormatting sqref="N4:O75 I4:L10 F19:L19 I20:L26 N114:O114 Z4:AA75 U4:X4 R11:X11 R27:X27 U41:X42 AL20:AM75 AD59:AJ59 AC84:AC85 AD35:AJ35 AG47:AJ48 AD51:AJ51 AG53:AJ53 AG4:AJ5 AD11:AJ11 AB148:AC154 AB419:AJ419 AL4:AM12 AB86:AC86 AF108:AJ108 AG184:AJ184 AG308:AJ308 Q42 G62 AB109:AC114 G96:H97 F71 F75:H75 G93:H93 G101:H104 E95:E98 E111:E114 E121:E122 E126 E154 E162 AN164:XFD168 E166:E168 E170 E181 AN196:XFD200 E201:E202 E209:E210 AN228:XFD232 AN260:XFD264 AN300:XFD304 AN332:XFD336 AN364:XFD368 AN404:XFD408 E408 AN412:XFD416 H134 P41:Q41 AB100:AC106 P201 AE47:AE48 AE53 H110 AN21:AN24 Q10:Q11 AC15:AC76 AC10:AC12 AO20:XFD24 H108 C11:L11 A285:A290 A389:A394 A420:B1048576 C420:L420 E138 P419:X419 N3:X3 Z3:AJ3 C3:L3 A3:B11 F15:G15 F22:G23 E67:L67 F63:L63 R5:X5 F13:G13 R14:R15 T14:T15 Q43:X43 Q59:X59 E27:L27 F35:L35 R19:X19 Q35:X35 H71 C181:C186 C188:C194 C196:C202 C204:C210 C212 C214:C218 C220:C226 C228:C234 C236:C242 C244:C247 C249:C250 C252:C258 C260:C266 C268:C274 C276:C282 C285:C290 C292:C298 C300:C306 E218 C308:C314 E308:E314 C316:C317 E316:E322 C319:C322 C324:C330 C332:C338 C340:C346 C348:C352 C354 C356:C362 C364:C370 C372:C378 C380:C386 C389:C394 C396:C402 C404:C410 C419:H419 C412:C418 G80:H80 U76:U82 AB77:AC82 G76:I76 O76:O82 I77:I82 AB76 AA76:AA82 AM76:AM82 G239:H242 G295:H298 E410 G410:H410 G408:H408 G393:H394 G392 G374:H378 G372:G373 G370:H370 G367:G369 G365:H366 G364 G362:H362 G361 G333:H338 G332 G326:H330 G294 G290:H290 G289 G278:H282 G277 G270:H274 G269 G261:H266 G260 G236:G237 G218:H218 G209:H210 G207 G201:H202 G181 G173 G170:H170 G166:H166 G162:H162 G154:H154 G142 G141:H141 G140 G138:H138 G126:H126 G122:H122 G121 G119 G116:G117 G113:H114 G112 G111:H111 G105 G88:H89 G144:H146 G167:G168 P202:Q202 S111 S104:S106 S101 S148:S154 S114 S121:S122 S346 AE308 AE109:AJ114 AB185:AC186 AE309:AJ314 AE185:AJ186 AE148:AJ154 F55:L55 F59:L59 G53:L54 F47:L47 G45:L45 F43:L43 E30:L30 G28:L28 I32:L34 S10:X10 AE6:AJ10 AD19:AJ19 AD27:AJ27 AE20:AJ26 AE28:AJ34 AD43:AJ43 AE44:AJ46 AE49:AJ50 AE52:AJ52 AE54:AJ58 AD67:AJ67 AE60:AJ66 AD75:AJ75 AE68:AJ74 Q68:Q74 Q67:X67 Q60:Q66 Q52:Q55 Q51:X51 Q36:Q40 S41:S42 Q17:Q23 E48:E54 E32:E38 E28:E29 E12:E14 AB36:AB42 S8:S9 U6:X9 G18:L18 I12:L17 C4:E10 U12:X18 T20:X20 I29:L29 G25:H26 G34:H34 S21:X21 A181:A186 AE12:AJ18 S23:X23 R22 T22:X22 S16:S17 U24:X26 Q25:Q29 G317:H322 R28 T28 S29 S32:X34 S36:X40 U60:X66 S84:S85 T81 S157:S162 U84:X90 T110:T114 T126:T130 T142:T146 T158:T162 T102:T106 T118:T122 T134:T138 T150:T154 U151:X154 T174:T178 T190:T194 T206:T210 T222:T226 T238:T242 T254:T258 T270:T274 T286:T290 T302:T306 T318:T322 T334:T338 T350:T354 T366:T370 T382:T386 T398:T402 T414:T418 T166:T170 T182:T186 T198:T202 T214:T218 T230:T234 T246:T250 T262:T266 T278:T282 T294:T298 T310:T314 T326:T330 T342:T346 T358:T362 T374:T378 T390:T394 T406:T410 U92:X98 S92 N92:Q98 AC87:AC90 I84:L90 AE84:AJ90 N84:Q90 AC83:AJ83 N83:X83 E83:L83 E92:E93 AE92:AJ98 I92:L98 AC92:AC98 AC91:AJ91 N91:X91 E91:L91 I100:L106 AE100:AJ106 N100:Q106 U100:X106 E100:E105 AC99:AJ99 N99:X99 E99:L99 U108:X114 N108:O112 P108:Q114 I108:L114 Z83:AA112 AC107:AJ107 N107:X107 E107:L107 I116:L122 U116:X122 AE116:AJ122 S116:S119 E116:E119 AB116:AC122 N116:Q122 Z115:AA115 AC115:AJ115 N115:X115 E115:L115 AB124:AC130 AE124:AJ130 U124:X130 N124:Q130 I124:L130 S124:S130 G124 E124 Z123:AA123 AC123:AJ123 N123:X123 AL123:AM123 E123:L123 S132:S138 I132:L138 U132:X138 AE132:AJ138 AB132:AC138 N132:Q138 Z131:AA131 AC131:AJ131 N131:X131 AL131:AM131 E131:L131 AB140:AC146 AE140:AJ146 U140:X146 N140:Q146 I140:L146 S140:S146 E140:E146 Z139:AA139 AC139:AJ139 N139:X139 AL139:AM139 E139:L139 E148 I148:L154 N148:Q154 G148:H148 Z147:AA147 AC147:AJ147 N147:X147 E147:L147 N156:Q162 I156:L162 U156:X162 AE156:AJ162 E156 AB156:AC162 Z155:AA155 AC155:AJ155 N155:X155 E155:L155 AB164:AC170 AE164:AJ170 U164:X170 I164:L170 N164:Q170 S164:S170 Z163:AA163 AC163:AJ163 N163:X163 E163:L163 S172:S178 N172:Q178 I172:L178 U172:X178 AE172:AJ178 AB172:AC178 G172:H172 E172:E173 Z171:AA171 AC171:AJ171 N171:X171 E171:L171 AB180:AC183 AE180:AJ183 U180:X186 I180:L186 N180:Q186 S180:S186 Z179:AA179 AC179:AJ179 N179:X179 E179:L179 S188:S194 N188:Q194 I188:L194 U188:X194 A188:A194 AE188:AJ194 AB188:AC194 Z187:AA187 AC187:AJ187 N187:X187 E187:L187 AB196:AC202 AE196:AJ202 A196:A202 U196:X202 I196:L202 P196:Q200 N196:O202 S196:S202 Z195:AA195 AC195:AJ195 N195:X195 E195:L195 S204:S210 I204:L210 U204:X210 A204:A210 AE204:AJ210 AB204:AC210 N204:Q210 G204:H206 E204:E207 Z203:AA203 AC203:AJ203 N203:X203 E203:L203 AB212:AC218 AE212:AJ218 A212:A218 U212:X218 I212:L218 N212:Q218 S212:S218 G212:H216 E212:E216 Z211:AA211 AC211:AJ211 N211:X211 E211:L211 S220:S226 U220:X226 A220:A226 AE220:AJ226 AB220:AC226 N220:Q226 G220:L226 E220:E226 Z219:AA219 AC219:AJ219 N219:X219 E219:L219 E228:E234 AB228:AC234 AE228:AJ234 A228:A234 U228:X234 G228:L234 N228:Q234 S228:S234 Z227:AA227 AC227:AJ227 N227:X227 E227:L227 S236:S242 I236:L242 U236:X242 A236:A242 AE236:AJ242 AB236:AC242 N236:Q242 E236:E242 Z235:AA235 AC235:AJ235 N235:X235 E235:L235 E244:E250 AB244:AC250 AE244:AJ250 A244:A250 U244:X250 N244:Q250 S244:S250 G244:L250 Z243:AA243 AC243:AJ243 N243:X243 E243:L243 S252:S258 G252:L258 U252:X258 A252:A258 AE252:AJ258 AB252:AC258 N252:Q258 E252:E258 Z251:AA251 AC251:AJ251 N251:X251 E251:L251 E260:E266 AB260:AC266 AE260:AJ266 A260:A266 U260:X266 I260:L266 N260:Q266 S260:S266 Z259:AA259 AC259:AJ259 N259:X259 E259:L259 S268:S274 I268:L274 U268:X274 A268:A274 AE268:AJ274 AB268:AC274 N268:Q274 E268:E274 G268:H268 Z267:AA267 AC267:AJ267 N267:X267 E267:L267 E276:E282 AB276:AC282 AE276:AJ282 A276:A282 U276:X282 I276:L282 N276:Q282 S276:S282 G276:H276 Z275:AA275 AC275:AJ275 N275:X275 E275:L275 S284:S290 I284:L290 U284:X290 AE284:AJ290 AB284:AC290 N284:Q290 E284:E290 G284:H288 Z283:AA283 AC283:AJ283 N283:X283 E283:L283 E292:E298 AB292:AC298 AE292:AJ298 U292:X298 I292:L298 N292:Q298 S292:S298 G292:H293 A292:A298 Z291:AA291 AC291:AJ291 N291:X291 E291:L291 A300:A306 S300:S306 U300:X306 AE300:AJ306 AB300:AC306 N300:Q306 E300:E306 G300:L306 Z299:AA299 AC299:AJ299 N299:X299 E299:L299 AB308:AC314 U308:X314 G308:L314 N308:Q314 S308:S314 A308:A314 Z307:AA307 AC307:AJ307 N307:X307 E307:L307 A316:A322 S316:S322 I316:L322 U316:X322 AB316:AC322 N316:Q322 AE316:AJ322 Z315:AA315 AC315:AJ315 N315:X315 E315:L315 AE324:AJ330 AB324:AC330 U324:X330 I324:L330 N324:Q330 S324:S330 A324:A330 E324:E330 Z323:AA323 AC323:AJ323 N323:X323 E323:L323 E332:E338 A332:A338 S332:S338 I332:L338 U332:X338 AB332:AC338 N332:Q338 AE332:AJ338 Z331:AA331 AC331:AJ331 N331:X331 E331:L331 AE340:AJ346 AB340:AC346 U340:X346 N340:Q346 S340:S343 A340:A346 E340:E346 G340:L346 Z339:AA339 AC339:AJ339 N339:X339 E339:L339 E348:E354 A348:A354 G348:L354 U348:X354 AB348:AC354 N348:Q354 AE348:AJ354 S348:S354 Z347:AA347 AC347:AJ347 N347:X347 E347:L347 S356:S362 AE356:AJ362 AB356:AC362 U356:X362 I356:L362 N356:Q362 A356:A362 E356:E362 G356:H360 Z355:AA355 AC355:AJ355 N355:X355 E355:L355 E364:E370 A364:A370 I364:L370 U364:X370 AB364:AC370 N364:Q370 AE364:AJ370 S364:S370 Z363:AA363 AC363:AJ363 N363:X363 E363:L363 S372:S378 AE372:AJ378 AB372:AC378 U372:X378 I372:L378 A372:A378 E372:E378 N372:Q378 Z371:AA371 AC371:AJ371 N371:X371 E371:L371 E380:E386 A380:A386 U380:X386 AB380:AC386 N380:Q386 AE380:AJ386 S380:S386 G380:L386 Z379:AA379 AC379:AJ379 N379:X379 E379:L379 G388:H391 S388:S394 AE388:AJ394 AB388:AC394 U388:X394 I388:L394 E388:E394 N388:Q394 Z387:AA387 AC387:AJ387 N387:X387 E387:L387 E396:E402 U396:X402 AB396:AC402 N396:Q402 AE396:AJ402 S396:S402 G396:L402 A396:A402 Z395:AA395 AC395:AJ395 N395:X395 E395:L395 A404:A410 G404:H405 S404:S410 AE404:AJ410 AB404:AC410 U404:X410 I404:L410 E404:E405 N404:Q410 Z403:AA403 AC403:AJ403 N403:X403 E403:L403 N412:O419 I412:L419 U412:X418 AB412:AC418 P412:Q418 AE412:AJ418 S412:S418 A412:A419 G412:H418 E412:E418 Z411:AA411 AC411:AJ411 N411:X411 AL147:AM420 E411:L411 I36:L37 Q31:Q34 R30 U28:X31 T30:T31 S24:T25 G40:L40 F31:L31 F38:L39 G42:L42 I41:L41 S52:T54 R48 T48:X48 S49:X50 I48:L48 I44:L44 E40:E46 AE36:AJ42 G49:L50 P57:P82 U52:X56 Q57:Q58 S56:T56 P56:Q56 F51:L52 I60:L62 I46:L46 I56:L58 G57:H57 E56:E62 G60:H61 S57:X58 S64:T66 G68:H68 G70:H70 G74 AL83:AM115 E64:E66 G64:L66 E68:E82 H84 S80:T80 S71:T72 S68:T69 E84:E90 I68:L75 U68:X74 S82:T82 S90:T90 Q75:Y75 S88 AE76:AG82 S78:S79 S73 T79 S93:T98">
    <cfRule type="containsText" dxfId="4308" priority="9392" operator="containsText" text="[adv]">
      <formula>NOT(ISERROR(SEARCH("[adv]",A3)))</formula>
    </cfRule>
  </conditionalFormatting>
  <conditionalFormatting sqref="N113:O113">
    <cfRule type="containsText" dxfId="4307" priority="8090" operator="containsText" text="[adv]">
      <formula>NOT(ISERROR(SEARCH("[adv]",N113)))</formula>
    </cfRule>
  </conditionalFormatting>
  <conditionalFormatting sqref="N420:X1048576 Z420:AJ1048576 E129:E130 G118:H118 G125:H125 S156 AL13:AM19 Z113:AA114 AL116:AM122 U148:X150 A213 C213 A248 C248 C284 A318 C318 A353 C353 C388 C421:L1048576 C19:D19 C12:C18 C27:D27 C20:C26 C35:D35 C28:C34 C43:D43 C36:C42 C51:D51 C44:C50 C59:D59 C52:C58 C67:D67 C60:C66 C75:D75 C68:C74 C76:C82 C84:C90 C92:C98 C100:C106 C108:C114 C116:C122 C124:C130 C132:C138 C140:C146 C148:C154 C156:C162 C164:C170 C172:C177 G129:H130 E4:E10 C83:D83 C91:D91 C99:D99 C107:D107 Z116:AA122 C115:D115 Z124:AA130 AL124:AM130 C123:D123 AL132:AM138 Z132:AA138 C131:D131 Z140:AA146 AL140:AM146 C139:D139 Z148:AA154 C147:D147 Z156:AA162 C155:D155 Z164:AA170 C163:D163 Z172:AA178 C171:D171 Z180:AA186 C179:D179 Z188:AA194 C187:D187 A12:A187 Z196:AA202 Z204:AA210 Z212:AA218 Z220:AA226 Z228:AA234 Z236:AA242 Z244:AA250 Z252:AA258 Z260:AA266 Z268:AA274 Z276:AA282 Z284:AA290 C283:D283 Z292:AA298 C291:D291 A283:A291 Z300:AA306 Z308:AA314 Z316:AA322 Z324:AA330 Z332:AA338 Z340:AA346 Z348:AA354 Z356:AA362 Z364:AA370 Z372:AA378 Z380:AA386 Z388:AA394 C387:D387 Z396:AA402 C395:D395 A387:A395 Z404:AA410 Z412:AA419">
    <cfRule type="containsText" dxfId="4306" priority="8083" operator="containsText" text="[adv]">
      <formula>NOT(ISERROR(SEARCH("[adv]",A4)))</formula>
    </cfRule>
  </conditionalFormatting>
  <conditionalFormatting sqref="O76:P82">
    <cfRule type="containsText" dxfId="4305" priority="4851" operator="containsText" text="[pluk]">
      <formula>NOT(ISERROR(SEARCH("[pluk]",O76)))</formula>
    </cfRule>
  </conditionalFormatting>
  <conditionalFormatting sqref="P2">
    <cfRule type="cellIs" dxfId="4304" priority="5980" operator="equal">
      <formula>"GJ+"</formula>
    </cfRule>
    <cfRule type="cellIs" dxfId="4303" priority="5981" operator="equal">
      <formula>"GJ"</formula>
    </cfRule>
    <cfRule type="cellIs" dxfId="4302" priority="5982" operator="equal">
      <formula>"GJ*"</formula>
    </cfRule>
  </conditionalFormatting>
  <conditionalFormatting sqref="P3:P14 AB3:AB102 P19:P23 P25:P34 P36:P42 P52:P58 P60:P66 P68:P74 P84:P90 P92:P98 P100:P106 P116:P122 P124:P130 P132:P138 P140:P146 P148:P154 P156:P162 P164:P170 P172:P178 P180:P186 P188:P194 P196:P202 P204:P210 P212:P218 P220:P226 P228:P234 P244:P250 P252:P258 P260:P266 P268:P274 P276:P282 P284:P290 P292:P298 P300:P306 P308:P314 P316:P322 P324:P330 P332:P338 P340:P346 P348:P354 P356:P362 P364:P370 P372:P378 P380:P386 P388:P394 P396:P402 P404:P410 P412:P418 AB110 P108:P114 E3:E11 P236:P242">
    <cfRule type="cellIs" dxfId="4301" priority="7996" operator="equal">
      <formula>"HK+"</formula>
    </cfRule>
    <cfRule type="cellIs" dxfId="4300" priority="7998" operator="equal">
      <formula>"ID*"</formula>
    </cfRule>
  </conditionalFormatting>
  <conditionalFormatting sqref="P4:P7">
    <cfRule type="containsText" dxfId="4299" priority="4216" operator="containsText" text="[pluk]">
      <formula>NOT(ISERROR(SEARCH("[pluk]",P4)))</formula>
    </cfRule>
    <cfRule type="cellIs" dxfId="4298" priority="4217" operator="equal">
      <formula>"HK*"</formula>
    </cfRule>
    <cfRule type="cellIs" dxfId="4297" priority="4218" operator="equal">
      <formula>"HK"</formula>
    </cfRule>
    <cfRule type="cellIs" dxfId="4296" priority="4219" operator="equal">
      <formula>"HK+"</formula>
    </cfRule>
    <cfRule type="cellIs" dxfId="4295" priority="4220" operator="equal">
      <formula>"ID"</formula>
    </cfRule>
    <cfRule type="cellIs" dxfId="4294" priority="4221" operator="equal">
      <formula>"ID*"</formula>
    </cfRule>
  </conditionalFormatting>
  <conditionalFormatting sqref="P4:P9">
    <cfRule type="containsText" dxfId="4293" priority="4228" operator="containsText" text="[pluk]">
      <formula>NOT(ISERROR(SEARCH("[pluk]",P4)))</formula>
    </cfRule>
  </conditionalFormatting>
  <conditionalFormatting sqref="P4:P10">
    <cfRule type="cellIs" dxfId="4292" priority="4215" operator="equal">
      <formula>"ID+"</formula>
    </cfRule>
    <cfRule type="cellIs" dxfId="4291" priority="4229" operator="equal">
      <formula>"LC*"</formula>
    </cfRule>
    <cfRule type="cellIs" dxfId="4290" priority="4230" operator="equal">
      <formula>"LC+"</formula>
    </cfRule>
    <cfRule type="cellIs" dxfId="4289" priority="4231" operator="equal">
      <formula>"LC"</formula>
    </cfRule>
    <cfRule type="cellIs" dxfId="4288" priority="4232" operator="equal">
      <formula>"_"</formula>
    </cfRule>
    <cfRule type="containsText" dxfId="4287" priority="4233" operator="containsText" text="[adv]">
      <formula>NOT(ISERROR(SEARCH("[adv]",P4)))</formula>
    </cfRule>
    <cfRule type="containsText" dxfId="4286" priority="4235" operator="containsText" text="[adv]">
      <formula>NOT(ISERROR(SEARCH("[adv]",P4)))</formula>
    </cfRule>
  </conditionalFormatting>
  <conditionalFormatting sqref="P8:P10">
    <cfRule type="containsText" dxfId="4285" priority="4222" operator="containsText" text="[pluk]">
      <formula>NOT(ISERROR(SEARCH("[pluk]",P8)))</formula>
    </cfRule>
    <cfRule type="cellIs" dxfId="4284" priority="4223" operator="equal">
      <formula>"HK*"</formula>
    </cfRule>
    <cfRule type="cellIs" dxfId="4283" priority="4224" operator="equal">
      <formula>"HK"</formula>
    </cfRule>
    <cfRule type="cellIs" dxfId="4282" priority="4225" operator="equal">
      <formula>"HK+"</formula>
    </cfRule>
    <cfRule type="cellIs" dxfId="4281" priority="4226" operator="equal">
      <formula>"ID"</formula>
    </cfRule>
    <cfRule type="cellIs" dxfId="4280" priority="4227" operator="equal">
      <formula>"ID*"</formula>
    </cfRule>
  </conditionalFormatting>
  <conditionalFormatting sqref="P10">
    <cfRule type="timePeriod" dxfId="4279" priority="4234" timePeriod="thisMonth">
      <formula>AND(MONTH(P10)=MONTH(TODAY()),YEAR(P10)=YEAR(TODAY()))</formula>
    </cfRule>
    <cfRule type="containsText" dxfId="4278" priority="4236" operator="containsText" text="[pluk]">
      <formula>NOT(ISERROR(SEARCH("[pluk]",P10)))</formula>
    </cfRule>
    <cfRule type="cellIs" dxfId="4277" priority="4237" operator="equal">
      <formula>"_"</formula>
    </cfRule>
  </conditionalFormatting>
  <conditionalFormatting sqref="P11 P19:P23 P25:P27 P36:P42 AB38 P52:P58 P60:Q66 P68:P74 P84:P90 P92:P98 P100:P106 P116:P122 P124:P130 P132:P138 P140:P146 P148:P154 P156:P162 P164:P170 P172:P178 P180:P186 P188:P194 P196:P202 P204:P210 P212:P218 P220:P226 P228:P234 P244:P250 P252:P258 P260:P266 P268:P274 P276:P282 P284:P290 P292:P298 P300:P306 P308:P314 P316:P322 P324:P330 P332:P338 P340:P346 P348:P354 P356:P362 P364:P370 P372:P378 P380:P386 P388:P394 P396:P402 P404:P410 P412:P418">
    <cfRule type="containsText" dxfId="4276" priority="7993" operator="containsText" text="[pluk]">
      <formula>NOT(ISERROR(SEARCH("[pluk]",P11)))</formula>
    </cfRule>
  </conditionalFormatting>
  <conditionalFormatting sqref="P11 P19:P23 P25:P27 P36:P42 AB38 P60:P66 P68:P74 P84:P90 P92:P98 P100:P106 P116:P122 P124:P130 P132:P138 P140:P146 P148:P154 P156:P162 P164:P170 P172:P178 P180:P186 P188:P194 P196:P202 P204:P210 P212:P218 P220:P226 P228:P234 P244:P250 P252:P258 P260:P266 P268:P274 P276:P282 P284:P290 P292:P298 P300:P306 P308:P314 P316:P322 P324:P330 P332:P338 P340:P346 P348:P354 P356:P362 P364:P370 P372:P378 P380:P386 P388:P394 P396:P402 P404:P410 P412:P418 P52:P58">
    <cfRule type="cellIs" dxfId="4275" priority="7999" operator="equal">
      <formula>"_"</formula>
    </cfRule>
  </conditionalFormatting>
  <conditionalFormatting sqref="P11 P19:P23 P25:P27">
    <cfRule type="cellIs" dxfId="4274" priority="7989" operator="equal">
      <formula>"GJ"</formula>
    </cfRule>
    <cfRule type="containsText" dxfId="4273" priority="7991" operator="containsText" text="[adv]">
      <formula>NOT(ISERROR(SEARCH("[adv]",P11)))</formula>
    </cfRule>
  </conditionalFormatting>
  <conditionalFormatting sqref="P12:P14">
    <cfRule type="cellIs" dxfId="4272" priority="4198" operator="equal">
      <formula>"ID+"</formula>
    </cfRule>
    <cfRule type="containsText" dxfId="4271" priority="4199" operator="containsText" text="[pluk]">
      <formula>NOT(ISERROR(SEARCH("[pluk]",P12)))</formula>
    </cfRule>
    <cfRule type="cellIs" dxfId="4270" priority="4200" operator="equal">
      <formula>"HK*"</formula>
    </cfRule>
    <cfRule type="cellIs" dxfId="4269" priority="4201" operator="equal">
      <formula>"HK"</formula>
    </cfRule>
    <cfRule type="cellIs" dxfId="4268" priority="4202" operator="equal">
      <formula>"HK+"</formula>
    </cfRule>
    <cfRule type="cellIs" dxfId="4267" priority="4203" operator="equal">
      <formula>"ID"</formula>
    </cfRule>
    <cfRule type="cellIs" dxfId="4266" priority="4204" operator="equal">
      <formula>"ID*"</formula>
    </cfRule>
    <cfRule type="containsText" dxfId="4265" priority="4205" operator="containsText" text="[pluk]">
      <formula>NOT(ISERROR(SEARCH("[pluk]",P12)))</formula>
    </cfRule>
    <cfRule type="cellIs" dxfId="4264" priority="4206" operator="equal">
      <formula>"LC*"</formula>
    </cfRule>
    <cfRule type="cellIs" dxfId="4263" priority="4207" operator="equal">
      <formula>"LC+"</formula>
    </cfRule>
    <cfRule type="cellIs" dxfId="4262" priority="4208" operator="equal">
      <formula>"LC"</formula>
    </cfRule>
    <cfRule type="cellIs" dxfId="4261" priority="4209" operator="equal">
      <formula>"_"</formula>
    </cfRule>
    <cfRule type="containsText" dxfId="4260" priority="4210" operator="containsText" text="[adv]">
      <formula>NOT(ISERROR(SEARCH("[adv]",P12)))</formula>
    </cfRule>
    <cfRule type="containsText" dxfId="4259" priority="4211" operator="containsText" text="[adv]">
      <formula>NOT(ISERROR(SEARCH("[adv]",P12)))</formula>
    </cfRule>
    <cfRule type="cellIs" dxfId="4258" priority="4212" operator="equal">
      <formula>"GJ+"</formula>
    </cfRule>
    <cfRule type="cellIs" dxfId="4257" priority="4213" operator="equal">
      <formula>"GJ"</formula>
    </cfRule>
    <cfRule type="cellIs" dxfId="4256" priority="4214" operator="equal">
      <formula>"GJ*"</formula>
    </cfRule>
  </conditionalFormatting>
  <conditionalFormatting sqref="P15:P18">
    <cfRule type="cellIs" dxfId="4255" priority="4173" operator="equal">
      <formula>"ID+"</formula>
    </cfRule>
    <cfRule type="containsText" dxfId="4254" priority="4174" operator="containsText" text="[pluk]">
      <formula>NOT(ISERROR(SEARCH("[pluk]",P15)))</formula>
    </cfRule>
    <cfRule type="cellIs" dxfId="4253" priority="4175" operator="equal">
      <formula>"HK*"</formula>
    </cfRule>
    <cfRule type="cellIs" dxfId="4252" priority="4176" operator="equal">
      <formula>"HK"</formula>
    </cfRule>
    <cfRule type="cellIs" dxfId="4251" priority="4177" operator="equal">
      <formula>"HK+"</formula>
    </cfRule>
    <cfRule type="cellIs" dxfId="4250" priority="4178" operator="equal">
      <formula>"ID"</formula>
    </cfRule>
    <cfRule type="cellIs" dxfId="4249" priority="4179" operator="equal">
      <formula>"ID*"</formula>
    </cfRule>
    <cfRule type="cellIs" dxfId="4248" priority="4180" operator="equal">
      <formula>"LC*"</formula>
    </cfRule>
    <cfRule type="cellIs" dxfId="4247" priority="4181" operator="equal">
      <formula>"LC+"</formula>
    </cfRule>
    <cfRule type="cellIs" dxfId="4246" priority="4182" operator="equal">
      <formula>"LC"</formula>
    </cfRule>
    <cfRule type="cellIs" dxfId="4245" priority="4183" operator="equal">
      <formula>"_"</formula>
    </cfRule>
    <cfRule type="containsText" dxfId="4244" priority="4184" operator="containsText" text="[adv]">
      <formula>NOT(ISERROR(SEARCH("[adv]",P15)))</formula>
    </cfRule>
    <cfRule type="timePeriod" dxfId="4243" priority="4185" timePeriod="thisMonth">
      <formula>AND(MONTH(P15)=MONTH(TODAY()),YEAR(P15)=YEAR(TODAY()))</formula>
    </cfRule>
    <cfRule type="containsText" dxfId="4242" priority="4186" operator="containsText" text="[adv]">
      <formula>NOT(ISERROR(SEARCH("[adv]",P15)))</formula>
    </cfRule>
    <cfRule type="containsText" dxfId="4241" priority="4187" operator="containsText" text="[pluk]">
      <formula>NOT(ISERROR(SEARCH("[pluk]",P15)))</formula>
    </cfRule>
    <cfRule type="cellIs" dxfId="4240" priority="4188" operator="equal">
      <formula>"_"</formula>
    </cfRule>
    <cfRule type="cellIs" dxfId="4239" priority="4189" operator="equal">
      <formula>"ID+"</formula>
    </cfRule>
    <cfRule type="cellIs" dxfId="4238" priority="4190" operator="equal">
      <formula>"HK*"</formula>
    </cfRule>
    <cfRule type="cellIs" dxfId="4237" priority="4191" operator="equal">
      <formula>"HK"</formula>
    </cfRule>
    <cfRule type="cellIs" dxfId="4236" priority="4192" operator="equal">
      <formula>"HK+"</formula>
    </cfRule>
    <cfRule type="cellIs" dxfId="4235" priority="4193" operator="equal">
      <formula>"ID"</formula>
    </cfRule>
    <cfRule type="cellIs" dxfId="4234" priority="4194" operator="equal">
      <formula>"ID*"</formula>
    </cfRule>
    <cfRule type="cellIs" dxfId="4233" priority="4195" operator="equal">
      <formula>"GJ+"</formula>
    </cfRule>
    <cfRule type="cellIs" dxfId="4232" priority="4196" operator="equal">
      <formula>"GJ"</formula>
    </cfRule>
    <cfRule type="cellIs" dxfId="4231" priority="4197" operator="equal">
      <formula>"GJ*"</formula>
    </cfRule>
  </conditionalFormatting>
  <conditionalFormatting sqref="P19:P23 P25:P27 P3:P11">
    <cfRule type="cellIs" dxfId="4230" priority="7988" operator="equal">
      <formula>"GJ+"</formula>
    </cfRule>
    <cfRule type="cellIs" dxfId="4229" priority="7990" operator="equal">
      <formula>"GJ*"</formula>
    </cfRule>
  </conditionalFormatting>
  <conditionalFormatting sqref="P19:P23 P60:P66 P68:P74 P84:P90 P92:P98 P100:P106 P116:P122 P124:P130 P132:P138 P140:P146 P148:P154 P156:P162 P164:P170 P172:P178 P180:P186 P188:P194 P196:P202 P204:P210 P212:P218 P220:P226 P228:P234 P244:P250 P252:P258 P260:P266 P268:P274 P276:P282 P284:P290 P292:P298 P300:P306 P308:P314 P316:P322 P324:P330 P332:P338 P340:P346 P348:P354 P356:P362 P364:P370 P372:P378 P380:P386 P388:P394 P396:P402 P404:P410 P412:P418 P108:P114 E3:E11 P236:P242 P36:P42 P3:P14 AB3:AB102 AB104:AB107 AB109:AB119 P25:P34 P52:P58">
    <cfRule type="cellIs" dxfId="4228" priority="7992" operator="equal">
      <formula>"ID+"</formula>
    </cfRule>
  </conditionalFormatting>
  <conditionalFormatting sqref="P20:P23 P25">
    <cfRule type="containsText" dxfId="4227" priority="4160" operator="containsText" text="[pluk]">
      <formula>NOT(ISERROR(SEARCH("[pluk]",P20)))</formula>
    </cfRule>
  </conditionalFormatting>
  <conditionalFormatting sqref="P20:P23 P25:P26">
    <cfRule type="cellIs" dxfId="4226" priority="4147" operator="equal">
      <formula>"ID+"</formula>
    </cfRule>
    <cfRule type="cellIs" dxfId="4225" priority="4161" operator="equal">
      <formula>"LC*"</formula>
    </cfRule>
    <cfRule type="cellIs" dxfId="4224" priority="4162" operator="equal">
      <formula>"LC+"</formula>
    </cfRule>
    <cfRule type="cellIs" dxfId="4223" priority="4163" operator="equal">
      <formula>"LC"</formula>
    </cfRule>
    <cfRule type="cellIs" dxfId="4222" priority="4164" operator="equal">
      <formula>"GJ+"</formula>
    </cfRule>
    <cfRule type="cellIs" dxfId="4221" priority="4165" operator="equal">
      <formula>"GJ"</formula>
    </cfRule>
    <cfRule type="cellIs" dxfId="4220" priority="4166" operator="equal">
      <formula>"GJ*"</formula>
    </cfRule>
    <cfRule type="cellIs" dxfId="4219" priority="4167" operator="equal">
      <formula>"_"</formula>
    </cfRule>
    <cfRule type="containsText" dxfId="4218" priority="4168" operator="containsText" text="[adv]">
      <formula>NOT(ISERROR(SEARCH("[adv]",P20)))</formula>
    </cfRule>
    <cfRule type="containsText" dxfId="4217" priority="4170" operator="containsText" text="[adv]">
      <formula>NOT(ISERROR(SEARCH("[adv]",P20)))</formula>
    </cfRule>
  </conditionalFormatting>
  <conditionalFormatting sqref="P20:P23 P52:P55 P60:P66 P68:P74 P84:P90 P92:P98 P100:P106 P116:P122 P124:P130 P132:P138 P140:P146 P148:P154 P156:P162 P164:P170 P172:P178 P180:P186 P188:P194 P196:P202 P204:P210 P212:P218 P220:P226 P228:P234 P244:P250 P252:P258 P260:P266 P268:P274 P276:P282 P284:P290 P292:P298 P300:P306 P308:P314 P316:P322 P324:P330 P332:P338 P340:P346 P348:P354 P356:P362 P364:P370 P372:P378 P380:P386 P388:P394 P396:P402 P404:P410 P412:P418 P25:P26 P57:P58">
    <cfRule type="containsText" dxfId="4216" priority="7984" operator="containsText" text="[adv]">
      <formula>NOT(ISERROR(SEARCH("[adv]",P20)))</formula>
    </cfRule>
  </conditionalFormatting>
  <conditionalFormatting sqref="P20:P23 P52:P55 P60:P66 P68:P74 P92:P98 P100:P106 P116:P122 P124:P130 P132:P138 P140:P146 P156:P162 P164:P170 P172:P178 P196:P202 P204:P210 P220:P226 P228:P234 P244:P250 P252:P258 P260:P266 P284:P290 P324:P330 P332:P338 P340:P346 P356:P362 P364:P370 P380:P386 P388:P394 P404:P410 P412:P418 P84:P90 P148:P154 P180:P186 P188:P194 P212:P218 P292:P298 P300:P306 P308:P314 P316:P322 P268:P274 P276:P282 P348:P354 P372:P378 P396:P402 P25:P26 P57:P58">
    <cfRule type="cellIs" dxfId="4215" priority="7985" operator="equal">
      <formula>"LC*"</formula>
    </cfRule>
    <cfRule type="cellIs" dxfId="4214" priority="7986" operator="equal">
      <formula>"LC+"</formula>
    </cfRule>
    <cfRule type="cellIs" dxfId="4213" priority="7987" operator="equal">
      <formula>"LC"</formula>
    </cfRule>
  </conditionalFormatting>
  <conditionalFormatting sqref="P20:P23">
    <cfRule type="containsText" dxfId="4212" priority="4148" operator="containsText" text="[pluk]">
      <formula>NOT(ISERROR(SEARCH("[pluk]",P20)))</formula>
    </cfRule>
    <cfRule type="cellIs" dxfId="4211" priority="4149" operator="equal">
      <formula>"HK*"</formula>
    </cfRule>
    <cfRule type="cellIs" dxfId="4210" priority="4150" operator="equal">
      <formula>"HK"</formula>
    </cfRule>
    <cfRule type="cellIs" dxfId="4209" priority="4151" operator="equal">
      <formula>"HK+"</formula>
    </cfRule>
    <cfRule type="cellIs" dxfId="4208" priority="4152" operator="equal">
      <formula>"ID"</formula>
    </cfRule>
    <cfRule type="cellIs" dxfId="4207" priority="4153" operator="equal">
      <formula>"ID*"</formula>
    </cfRule>
  </conditionalFormatting>
  <conditionalFormatting sqref="P24">
    <cfRule type="containsText" dxfId="4206" priority="3112" operator="containsText" text="[adv]">
      <formula>NOT(ISERROR(SEARCH("[adv]",P24)))</formula>
    </cfRule>
    <cfRule type="cellIs" dxfId="4205" priority="3113" operator="equal">
      <formula>"LC*"</formula>
    </cfRule>
    <cfRule type="cellIs" dxfId="4204" priority="3114" operator="equal">
      <formula>"LC+"</formula>
    </cfRule>
    <cfRule type="cellIs" dxfId="4203" priority="3115" operator="equal">
      <formula>"LC"</formula>
    </cfRule>
    <cfRule type="cellIs" dxfId="4202" priority="3116" operator="equal">
      <formula>"ID+"</formula>
    </cfRule>
    <cfRule type="containsText" dxfId="4201" priority="3117" operator="containsText" text="[pluk]">
      <formula>NOT(ISERROR(SEARCH("[pluk]",P24)))</formula>
    </cfRule>
    <cfRule type="cellIs" dxfId="4200" priority="3118" operator="equal">
      <formula>"_"</formula>
    </cfRule>
    <cfRule type="containsText" dxfId="4199" priority="3119" operator="containsText" text="[pluk]">
      <formula>NOT(ISERROR(SEARCH("[pluk]",P24)))</formula>
    </cfRule>
    <cfRule type="cellIs" dxfId="4198" priority="3120" operator="equal">
      <formula>"HK*"</formula>
    </cfRule>
    <cfRule type="cellIs" dxfId="4197" priority="3121" operator="equal">
      <formula>"HK"</formula>
    </cfRule>
    <cfRule type="cellIs" dxfId="4196" priority="3122" operator="equal">
      <formula>"HK+"</formula>
    </cfRule>
    <cfRule type="cellIs" dxfId="4195" priority="3123" operator="equal">
      <formula>"ID"</formula>
    </cfRule>
    <cfRule type="cellIs" dxfId="4194" priority="3124" operator="equal">
      <formula>"ID*"</formula>
    </cfRule>
    <cfRule type="cellIs" dxfId="4193" priority="3125" operator="equal">
      <formula>"GJ+"</formula>
    </cfRule>
    <cfRule type="cellIs" dxfId="4192" priority="3126" operator="equal">
      <formula>"GJ"</formula>
    </cfRule>
    <cfRule type="cellIs" dxfId="4191" priority="3127" operator="equal">
      <formula>"GJ*"</formula>
    </cfRule>
    <cfRule type="cellIs" dxfId="4190" priority="3128" operator="equal">
      <formula>"_"</formula>
    </cfRule>
    <cfRule type="cellIs" dxfId="4189" priority="3129" operator="equal">
      <formula>"ID+"</formula>
    </cfRule>
    <cfRule type="containsText" dxfId="4188" priority="3130" operator="containsText" text="[adv]">
      <formula>NOT(ISERROR(SEARCH("[adv]",P24)))</formula>
    </cfRule>
  </conditionalFormatting>
  <conditionalFormatting sqref="P25:P26">
    <cfRule type="containsText" dxfId="4187" priority="4154" operator="containsText" text="[pluk]">
      <formula>NOT(ISERROR(SEARCH("[pluk]",P25)))</formula>
    </cfRule>
    <cfRule type="cellIs" dxfId="4186" priority="4155" operator="equal">
      <formula>"HK*"</formula>
    </cfRule>
    <cfRule type="cellIs" dxfId="4185" priority="4156" operator="equal">
      <formula>"HK"</formula>
    </cfRule>
    <cfRule type="cellIs" dxfId="4184" priority="4157" operator="equal">
      <formula>"HK+"</formula>
    </cfRule>
    <cfRule type="cellIs" dxfId="4183" priority="4158" operator="equal">
      <formula>"ID"</formula>
    </cfRule>
    <cfRule type="cellIs" dxfId="4182" priority="4159" operator="equal">
      <formula>"ID*"</formula>
    </cfRule>
  </conditionalFormatting>
  <conditionalFormatting sqref="P26">
    <cfRule type="timePeriod" dxfId="4181" priority="4169" timePeriod="thisMonth">
      <formula>AND(MONTH(P26)=MONTH(TODAY()),YEAR(P26)=YEAR(TODAY()))</formula>
    </cfRule>
    <cfRule type="containsText" dxfId="4180" priority="4171" operator="containsText" text="[pluk]">
      <formula>NOT(ISERROR(SEARCH("[pluk]",P26)))</formula>
    </cfRule>
    <cfRule type="cellIs" dxfId="4179" priority="4172" operator="equal">
      <formula>"_"</formula>
    </cfRule>
  </conditionalFormatting>
  <conditionalFormatting sqref="P28:P31">
    <cfRule type="containsText" dxfId="4178" priority="4126" operator="containsText" text="[pluk]">
      <formula>NOT(ISERROR(SEARCH("[pluk]",P28)))</formula>
    </cfRule>
    <cfRule type="cellIs" dxfId="4177" priority="4127" operator="equal">
      <formula>"HK*"</formula>
    </cfRule>
    <cfRule type="cellIs" dxfId="4176" priority="4128" operator="equal">
      <formula>"HK"</formula>
    </cfRule>
    <cfRule type="cellIs" dxfId="4175" priority="4129" operator="equal">
      <formula>"HK+"</formula>
    </cfRule>
    <cfRule type="cellIs" dxfId="4174" priority="4130" operator="equal">
      <formula>"ID"</formula>
    </cfRule>
    <cfRule type="cellIs" dxfId="4173" priority="4131" operator="equal">
      <formula>"ID*"</formula>
    </cfRule>
  </conditionalFormatting>
  <conditionalFormatting sqref="P28:P33">
    <cfRule type="containsText" dxfId="4172" priority="4138" operator="containsText" text="[pluk]">
      <formula>NOT(ISERROR(SEARCH("[pluk]",P28)))</formula>
    </cfRule>
  </conditionalFormatting>
  <conditionalFormatting sqref="P28:P34 P45:P50 P57">
    <cfRule type="cellIs" dxfId="4171" priority="4125" operator="equal">
      <formula>"ID+"</formula>
    </cfRule>
    <cfRule type="cellIs" dxfId="4170" priority="4139" operator="equal">
      <formula>"LC*"</formula>
    </cfRule>
    <cfRule type="cellIs" dxfId="4169" priority="4140" operator="equal">
      <formula>"LC+"</formula>
    </cfRule>
    <cfRule type="cellIs" dxfId="4168" priority="4141" operator="equal">
      <formula>"LC"</formula>
    </cfRule>
    <cfRule type="cellIs" dxfId="4167" priority="4142" operator="equal">
      <formula>"_"</formula>
    </cfRule>
    <cfRule type="containsText" dxfId="4166" priority="4143" operator="containsText" text="[adv]">
      <formula>NOT(ISERROR(SEARCH("[adv]",P28)))</formula>
    </cfRule>
  </conditionalFormatting>
  <conditionalFormatting sqref="P32:P34">
    <cfRule type="containsText" dxfId="4165" priority="4132" operator="containsText" text="[pluk]">
      <formula>NOT(ISERROR(SEARCH("[pluk]",P32)))</formula>
    </cfRule>
    <cfRule type="cellIs" dxfId="4164" priority="4133" operator="equal">
      <formula>"HK*"</formula>
    </cfRule>
    <cfRule type="cellIs" dxfId="4163" priority="4134" operator="equal">
      <formula>"HK"</formula>
    </cfRule>
    <cfRule type="cellIs" dxfId="4162" priority="4135" operator="equal">
      <formula>"HK+"</formula>
    </cfRule>
    <cfRule type="cellIs" dxfId="4161" priority="4136" operator="equal">
      <formula>"ID"</formula>
    </cfRule>
    <cfRule type="cellIs" dxfId="4160" priority="4137" operator="equal">
      <formula>"ID*"</formula>
    </cfRule>
  </conditionalFormatting>
  <conditionalFormatting sqref="P34">
    <cfRule type="timePeriod" dxfId="4159" priority="4144" timePeriod="thisMonth">
      <formula>AND(MONTH(P34)=MONTH(TODAY()),YEAR(P34)=YEAR(TODAY()))</formula>
    </cfRule>
    <cfRule type="containsText" dxfId="4158" priority="4145" operator="containsText" text="[pluk]">
      <formula>NOT(ISERROR(SEARCH("[pluk]",P34)))</formula>
    </cfRule>
    <cfRule type="cellIs" dxfId="4157" priority="4146" operator="equal">
      <formula>"_"</formula>
    </cfRule>
  </conditionalFormatting>
  <conditionalFormatting sqref="P36:P39">
    <cfRule type="containsText" dxfId="4156" priority="4109" operator="containsText" text="[pluk]">
      <formula>NOT(ISERROR(SEARCH("[pluk]",P36)))</formula>
    </cfRule>
    <cfRule type="cellIs" dxfId="4155" priority="4110" operator="equal">
      <formula>"HK*"</formula>
    </cfRule>
    <cfRule type="cellIs" dxfId="4154" priority="4111" operator="equal">
      <formula>"HK"</formula>
    </cfRule>
    <cfRule type="cellIs" dxfId="4153" priority="4112" operator="equal">
      <formula>"HK+"</formula>
    </cfRule>
    <cfRule type="cellIs" dxfId="4152" priority="4113" operator="equal">
      <formula>"ID"</formula>
    </cfRule>
    <cfRule type="cellIs" dxfId="4151" priority="4114" operator="equal">
      <formula>"ID*"</formula>
    </cfRule>
  </conditionalFormatting>
  <conditionalFormatting sqref="P36:P41">
    <cfRule type="containsText" dxfId="4150" priority="4121" operator="containsText" text="[pluk]">
      <formula>NOT(ISERROR(SEARCH("[pluk]",P36)))</formula>
    </cfRule>
  </conditionalFormatting>
  <conditionalFormatting sqref="P36:P42">
    <cfRule type="cellIs" dxfId="4149" priority="4108" operator="equal">
      <formula>"ID+"</formula>
    </cfRule>
    <cfRule type="cellIs" dxfId="4148" priority="4122" operator="equal">
      <formula>"_"</formula>
    </cfRule>
    <cfRule type="containsText" dxfId="4147" priority="4123" operator="containsText" text="[adv]">
      <formula>NOT(ISERROR(SEARCH("[adv]",P36)))</formula>
    </cfRule>
  </conditionalFormatting>
  <conditionalFormatting sqref="P40:P42">
    <cfRule type="containsText" dxfId="4146" priority="4115" operator="containsText" text="[pluk]">
      <formula>NOT(ISERROR(SEARCH("[pluk]",P40)))</formula>
    </cfRule>
    <cfRule type="cellIs" dxfId="4145" priority="4116" operator="equal">
      <formula>"HK*"</formula>
    </cfRule>
    <cfRule type="cellIs" dxfId="4144" priority="4117" operator="equal">
      <formula>"HK"</formula>
    </cfRule>
    <cfRule type="cellIs" dxfId="4143" priority="4118" operator="equal">
      <formula>"HK+"</formula>
    </cfRule>
    <cfRule type="cellIs" dxfId="4142" priority="4119" operator="equal">
      <formula>"ID"</formula>
    </cfRule>
    <cfRule type="cellIs" dxfId="4141" priority="4120" operator="equal">
      <formula>"ID*"</formula>
    </cfRule>
  </conditionalFormatting>
  <conditionalFormatting sqref="P42">
    <cfRule type="timePeriod" dxfId="4140" priority="4124" timePeriod="thisMonth">
      <formula>AND(MONTH(P42)=MONTH(TODAY()),YEAR(P42)=YEAR(TODAY()))</formula>
    </cfRule>
  </conditionalFormatting>
  <conditionalFormatting sqref="P44">
    <cfRule type="cellIs" dxfId="4139" priority="1284" operator="equal">
      <formula>"ID+"</formula>
    </cfRule>
    <cfRule type="containsText" dxfId="4138" priority="1285" operator="containsText" text="[pluk]">
      <formula>NOT(ISERROR(SEARCH("[pluk]",P44)))</formula>
    </cfRule>
    <cfRule type="cellIs" dxfId="4137" priority="1286" operator="equal">
      <formula>"HK*"</formula>
    </cfRule>
    <cfRule type="cellIs" dxfId="4136" priority="1287" operator="equal">
      <formula>"HK"</formula>
    </cfRule>
    <cfRule type="cellIs" dxfId="4135" priority="1288" operator="equal">
      <formula>"HK+"</formula>
    </cfRule>
    <cfRule type="cellIs" dxfId="4134" priority="1289" operator="equal">
      <formula>"ID"</formula>
    </cfRule>
    <cfRule type="cellIs" dxfId="4133" priority="1290" operator="equal">
      <formula>"ID*"</formula>
    </cfRule>
    <cfRule type="cellIs" dxfId="4132" priority="1291" operator="equal">
      <formula>"LC*"</formula>
    </cfRule>
    <cfRule type="cellIs" dxfId="4131" priority="1292" operator="equal">
      <formula>"LC+"</formula>
    </cfRule>
    <cfRule type="cellIs" dxfId="4130" priority="1293" operator="equal">
      <formula>"LC"</formula>
    </cfRule>
    <cfRule type="cellIs" dxfId="4129" priority="1294" operator="equal">
      <formula>"_"</formula>
    </cfRule>
    <cfRule type="containsText" dxfId="4128" priority="1295" operator="containsText" text="[adv]">
      <formula>NOT(ISERROR(SEARCH("[adv]",P44)))</formula>
    </cfRule>
    <cfRule type="timePeriod" dxfId="4127" priority="1296" timePeriod="thisMonth">
      <formula>AND(MONTH(P44)=MONTH(TODAY()),YEAR(P44)=YEAR(TODAY()))</formula>
    </cfRule>
    <cfRule type="containsText" dxfId="4126" priority="1311" operator="containsText" text="[adv]">
      <formula>NOT(ISERROR(SEARCH("[adv]",P44)))</formula>
    </cfRule>
    <cfRule type="cellIs" dxfId="4125" priority="1312" operator="equal">
      <formula>"LC*"</formula>
    </cfRule>
    <cfRule type="cellIs" dxfId="4124" priority="1313" operator="equal">
      <formula>"LC+"</formula>
    </cfRule>
    <cfRule type="cellIs" dxfId="4123" priority="1314" operator="equal">
      <formula>"LC"</formula>
    </cfRule>
    <cfRule type="cellIs" dxfId="4122" priority="1315" operator="equal">
      <formula>"ID+"</formula>
    </cfRule>
    <cfRule type="containsText" dxfId="4121" priority="1316" operator="containsText" text="[pluk]">
      <formula>NOT(ISERROR(SEARCH("[pluk]",P44)))</formula>
    </cfRule>
    <cfRule type="cellIs" dxfId="4120" priority="1317" operator="equal">
      <formula>"HK*"</formula>
    </cfRule>
    <cfRule type="cellIs" dxfId="4119" priority="1318" operator="equal">
      <formula>"HK"</formula>
    </cfRule>
    <cfRule type="cellIs" dxfId="4118" priority="1319" operator="equal">
      <formula>"HK+"</formula>
    </cfRule>
    <cfRule type="cellIs" dxfId="4117" priority="1320" operator="equal">
      <formula>"ID"</formula>
    </cfRule>
    <cfRule type="cellIs" dxfId="4116" priority="1321" operator="equal">
      <formula>"ID*"</formula>
    </cfRule>
    <cfRule type="cellIs" dxfId="4115" priority="1322" operator="equal">
      <formula>"_"</formula>
    </cfRule>
  </conditionalFormatting>
  <conditionalFormatting sqref="P48:P50">
    <cfRule type="containsText" dxfId="4114" priority="4101" operator="containsText" text="[pluk]">
      <formula>NOT(ISERROR(SEARCH("[pluk]",P48)))</formula>
    </cfRule>
    <cfRule type="cellIs" dxfId="4113" priority="4102" operator="equal">
      <formula>"HK*"</formula>
    </cfRule>
    <cfRule type="cellIs" dxfId="4112" priority="4103" operator="equal">
      <formula>"HK"</formula>
    </cfRule>
    <cfRule type="cellIs" dxfId="4111" priority="4104" operator="equal">
      <formula>"HK+"</formula>
    </cfRule>
    <cfRule type="cellIs" dxfId="4110" priority="4105" operator="equal">
      <formula>"ID"</formula>
    </cfRule>
    <cfRule type="cellIs" dxfId="4109" priority="4106" operator="equal">
      <formula>"ID*"</formula>
    </cfRule>
  </conditionalFormatting>
  <conditionalFormatting sqref="P50">
    <cfRule type="timePeriod" dxfId="4108" priority="4107" timePeriod="thisMonth">
      <formula>AND(MONTH(P50)=MONTH(TODAY()),YEAR(P50)=YEAR(TODAY()))</formula>
    </cfRule>
  </conditionalFormatting>
  <conditionalFormatting sqref="P52:P55 P57:P58">
    <cfRule type="cellIs" dxfId="4107" priority="4081" operator="equal">
      <formula>"ID+"</formula>
    </cfRule>
    <cfRule type="cellIs" dxfId="4106" priority="4095" operator="equal">
      <formula>"LC*"</formula>
    </cfRule>
    <cfRule type="cellIs" dxfId="4105" priority="4096" operator="equal">
      <formula>"LC+"</formula>
    </cfRule>
    <cfRule type="cellIs" dxfId="4104" priority="4097" operator="equal">
      <formula>"LC"</formula>
    </cfRule>
    <cfRule type="cellIs" dxfId="4103" priority="4098" operator="equal">
      <formula>"_"</formula>
    </cfRule>
    <cfRule type="containsText" dxfId="4102" priority="4099" operator="containsText" text="[adv]">
      <formula>NOT(ISERROR(SEARCH("[adv]",P52)))</formula>
    </cfRule>
  </conditionalFormatting>
  <conditionalFormatting sqref="P52:P55">
    <cfRule type="containsText" dxfId="4101" priority="4082" operator="containsText" text="[pluk]">
      <formula>NOT(ISERROR(SEARCH("[pluk]",P52)))</formula>
    </cfRule>
    <cfRule type="cellIs" dxfId="4100" priority="4083" operator="equal">
      <formula>"HK*"</formula>
    </cfRule>
    <cfRule type="cellIs" dxfId="4099" priority="4084" operator="equal">
      <formula>"HK"</formula>
    </cfRule>
    <cfRule type="cellIs" dxfId="4098" priority="4085" operator="equal">
      <formula>"HK+"</formula>
    </cfRule>
    <cfRule type="cellIs" dxfId="4097" priority="4086" operator="equal">
      <formula>"ID"</formula>
    </cfRule>
    <cfRule type="cellIs" dxfId="4096" priority="4087" operator="equal">
      <formula>"ID*"</formula>
    </cfRule>
    <cfRule type="containsText" dxfId="4095" priority="4094" operator="containsText" text="[pluk]">
      <formula>NOT(ISERROR(SEARCH("[pluk]",P52)))</formula>
    </cfRule>
  </conditionalFormatting>
  <conditionalFormatting sqref="P56">
    <cfRule type="cellIs" dxfId="4094" priority="1357" operator="equal">
      <formula>"ID+"</formula>
    </cfRule>
    <cfRule type="containsText" dxfId="4093" priority="1358" operator="containsText" text="[pluk]">
      <formula>NOT(ISERROR(SEARCH("[pluk]",P56)))</formula>
    </cfRule>
    <cfRule type="cellIs" dxfId="4092" priority="1359" operator="equal">
      <formula>"HK*"</formula>
    </cfRule>
    <cfRule type="cellIs" dxfId="4091" priority="1360" operator="equal">
      <formula>"HK"</formula>
    </cfRule>
    <cfRule type="cellIs" dxfId="4090" priority="1361" operator="equal">
      <formula>"HK+"</formula>
    </cfRule>
    <cfRule type="cellIs" dxfId="4089" priority="1362" operator="equal">
      <formula>"ID"</formula>
    </cfRule>
    <cfRule type="cellIs" dxfId="4088" priority="1363" operator="equal">
      <formula>"ID*"</formula>
    </cfRule>
    <cfRule type="containsText" dxfId="4087" priority="1364" operator="containsText" text="[pluk]">
      <formula>NOT(ISERROR(SEARCH("[pluk]",P56)))</formula>
    </cfRule>
    <cfRule type="cellIs" dxfId="4086" priority="1365" operator="equal">
      <formula>"_"</formula>
    </cfRule>
    <cfRule type="containsText" dxfId="4085" priority="1366" operator="containsText" text="[adv]">
      <formula>NOT(ISERROR(SEARCH("[adv]",P56)))</formula>
    </cfRule>
    <cfRule type="cellIs" dxfId="4084" priority="1381" operator="equal">
      <formula>"LC*"</formula>
    </cfRule>
    <cfRule type="cellIs" dxfId="4083" priority="1382" operator="equal">
      <formula>"LC+"</formula>
    </cfRule>
    <cfRule type="cellIs" dxfId="4082" priority="1383" operator="equal">
      <formula>"LC"</formula>
    </cfRule>
  </conditionalFormatting>
  <conditionalFormatting sqref="P57:P58">
    <cfRule type="containsText" dxfId="4081" priority="4088" operator="containsText" text="[pluk]">
      <formula>NOT(ISERROR(SEARCH("[pluk]",P57)))</formula>
    </cfRule>
    <cfRule type="cellIs" dxfId="4080" priority="4089" operator="equal">
      <formula>"HK*"</formula>
    </cfRule>
    <cfRule type="cellIs" dxfId="4079" priority="4090" operator="equal">
      <formula>"HK"</formula>
    </cfRule>
    <cfRule type="cellIs" dxfId="4078" priority="4091" operator="equal">
      <formula>"HK+"</formula>
    </cfRule>
    <cfRule type="cellIs" dxfId="4077" priority="4092" operator="equal">
      <formula>"ID"</formula>
    </cfRule>
    <cfRule type="cellIs" dxfId="4076" priority="4093" operator="equal">
      <formula>"ID*"</formula>
    </cfRule>
  </conditionalFormatting>
  <conditionalFormatting sqref="P58">
    <cfRule type="timePeriod" dxfId="4075" priority="4100" timePeriod="thisMonth">
      <formula>AND(MONTH(P58)=MONTH(TODAY()),YEAR(P58)=YEAR(TODAY()))</formula>
    </cfRule>
  </conditionalFormatting>
  <conditionalFormatting sqref="P60:P63">
    <cfRule type="containsText" dxfId="4074" priority="4062" operator="containsText" text="[pluk]">
      <formula>NOT(ISERROR(SEARCH("[pluk]",P60)))</formula>
    </cfRule>
    <cfRule type="cellIs" dxfId="4073" priority="4063" operator="equal">
      <formula>"HK*"</formula>
    </cfRule>
    <cfRule type="cellIs" dxfId="4072" priority="4064" operator="equal">
      <formula>"HK"</formula>
    </cfRule>
    <cfRule type="cellIs" dxfId="4071" priority="4065" operator="equal">
      <formula>"HK+"</formula>
    </cfRule>
    <cfRule type="cellIs" dxfId="4070" priority="4066" operator="equal">
      <formula>"ID"</formula>
    </cfRule>
    <cfRule type="cellIs" dxfId="4069" priority="4067" operator="equal">
      <formula>"ID*"</formula>
    </cfRule>
  </conditionalFormatting>
  <conditionalFormatting sqref="P60:P65">
    <cfRule type="containsText" dxfId="4068" priority="4074" operator="containsText" text="[pluk]">
      <formula>NOT(ISERROR(SEARCH("[pluk]",P60)))</formula>
    </cfRule>
  </conditionalFormatting>
  <conditionalFormatting sqref="P60:P66">
    <cfRule type="cellIs" dxfId="4067" priority="4061" operator="equal">
      <formula>"ID+"</formula>
    </cfRule>
    <cfRule type="cellIs" dxfId="4066" priority="4075" operator="equal">
      <formula>"LC*"</formula>
    </cfRule>
    <cfRule type="cellIs" dxfId="4065" priority="4076" operator="equal">
      <formula>"LC+"</formula>
    </cfRule>
    <cfRule type="cellIs" dxfId="4064" priority="4077" operator="equal">
      <formula>"LC"</formula>
    </cfRule>
    <cfRule type="cellIs" dxfId="4063" priority="4078" operator="equal">
      <formula>"_"</formula>
    </cfRule>
    <cfRule type="containsText" dxfId="4062" priority="4079" operator="containsText" text="[adv]">
      <formula>NOT(ISERROR(SEARCH("[adv]",P60)))</formula>
    </cfRule>
  </conditionalFormatting>
  <conditionalFormatting sqref="P64:P66">
    <cfRule type="containsText" dxfId="4061" priority="4068" operator="containsText" text="[pluk]">
      <formula>NOT(ISERROR(SEARCH("[pluk]",P64)))</formula>
    </cfRule>
    <cfRule type="cellIs" dxfId="4060" priority="4069" operator="equal">
      <formula>"HK*"</formula>
    </cfRule>
    <cfRule type="cellIs" dxfId="4059" priority="4070" operator="equal">
      <formula>"HK"</formula>
    </cfRule>
    <cfRule type="cellIs" dxfId="4058" priority="4071" operator="equal">
      <formula>"HK+"</formula>
    </cfRule>
    <cfRule type="cellIs" dxfId="4057" priority="4072" operator="equal">
      <formula>"ID"</formula>
    </cfRule>
    <cfRule type="cellIs" dxfId="4056" priority="4073" operator="equal">
      <formula>"ID*"</formula>
    </cfRule>
  </conditionalFormatting>
  <conditionalFormatting sqref="P66">
    <cfRule type="timePeriod" dxfId="4055" priority="4080" timePeriod="thisMonth">
      <formula>AND(MONTH(P66)=MONTH(TODAY()),YEAR(P66)=YEAR(TODAY()))</formula>
    </cfRule>
  </conditionalFormatting>
  <conditionalFormatting sqref="P68:P71">
    <cfRule type="containsText" dxfId="4054" priority="4042" operator="containsText" text="[pluk]">
      <formula>NOT(ISERROR(SEARCH("[pluk]",P68)))</formula>
    </cfRule>
    <cfRule type="cellIs" dxfId="4053" priority="4043" operator="equal">
      <formula>"HK*"</formula>
    </cfRule>
    <cfRule type="cellIs" dxfId="4052" priority="4044" operator="equal">
      <formula>"HK"</formula>
    </cfRule>
    <cfRule type="cellIs" dxfId="4051" priority="4045" operator="equal">
      <formula>"HK+"</formula>
    </cfRule>
    <cfRule type="cellIs" dxfId="4050" priority="4046" operator="equal">
      <formula>"ID"</formula>
    </cfRule>
    <cfRule type="cellIs" dxfId="4049" priority="4047" operator="equal">
      <formula>"ID*"</formula>
    </cfRule>
  </conditionalFormatting>
  <conditionalFormatting sqref="P68:P73">
    <cfRule type="containsText" dxfId="4048" priority="4054" operator="containsText" text="[pluk]">
      <formula>NOT(ISERROR(SEARCH("[pluk]",P68)))</formula>
    </cfRule>
  </conditionalFormatting>
  <conditionalFormatting sqref="P68:P74">
    <cfRule type="cellIs" dxfId="4047" priority="4041" operator="equal">
      <formula>"ID+"</formula>
    </cfRule>
    <cfRule type="cellIs" dxfId="4046" priority="4055" operator="equal">
      <formula>"LC*"</formula>
    </cfRule>
    <cfRule type="cellIs" dxfId="4045" priority="4056" operator="equal">
      <formula>"LC+"</formula>
    </cfRule>
    <cfRule type="cellIs" dxfId="4044" priority="4057" operator="equal">
      <formula>"LC"</formula>
    </cfRule>
    <cfRule type="cellIs" dxfId="4043" priority="4058" operator="equal">
      <formula>"_"</formula>
    </cfRule>
    <cfRule type="containsText" dxfId="4042" priority="4059" operator="containsText" text="[adv]">
      <formula>NOT(ISERROR(SEARCH("[adv]",P68)))</formula>
    </cfRule>
  </conditionalFormatting>
  <conditionalFormatting sqref="P72:P74">
    <cfRule type="containsText" dxfId="4041" priority="4048" operator="containsText" text="[pluk]">
      <formula>NOT(ISERROR(SEARCH("[pluk]",P72)))</formula>
    </cfRule>
    <cfRule type="cellIs" dxfId="4040" priority="4049" operator="equal">
      <formula>"HK*"</formula>
    </cfRule>
    <cfRule type="cellIs" dxfId="4039" priority="4050" operator="equal">
      <formula>"HK"</formula>
    </cfRule>
    <cfRule type="cellIs" dxfId="4038" priority="4051" operator="equal">
      <formula>"HK+"</formula>
    </cfRule>
    <cfRule type="cellIs" dxfId="4037" priority="4052" operator="equal">
      <formula>"ID"</formula>
    </cfRule>
    <cfRule type="cellIs" dxfId="4036" priority="4053" operator="equal">
      <formula>"ID*"</formula>
    </cfRule>
  </conditionalFormatting>
  <conditionalFormatting sqref="P74">
    <cfRule type="timePeriod" dxfId="4035" priority="4060" timePeriod="thisMonth">
      <formula>AND(MONTH(P74)=MONTH(TODAY()),YEAR(P74)=YEAR(TODAY()))</formula>
    </cfRule>
  </conditionalFormatting>
  <conditionalFormatting sqref="P76:P79">
    <cfRule type="containsText" dxfId="4034" priority="4016" operator="containsText" text="[pluk]">
      <formula>NOT(ISERROR(SEARCH("[pluk]",P76)))</formula>
    </cfRule>
    <cfRule type="cellIs" dxfId="4033" priority="4017" operator="equal">
      <formula>"HK*"</formula>
    </cfRule>
    <cfRule type="cellIs" dxfId="4032" priority="4018" operator="equal">
      <formula>"HK"</formula>
    </cfRule>
    <cfRule type="cellIs" dxfId="4031" priority="4019" operator="equal">
      <formula>"HK+"</formula>
    </cfRule>
    <cfRule type="cellIs" dxfId="4030" priority="4020" operator="equal">
      <formula>"ID"</formula>
    </cfRule>
    <cfRule type="cellIs" dxfId="4029" priority="4021" operator="equal">
      <formula>"ID*"</formula>
    </cfRule>
  </conditionalFormatting>
  <conditionalFormatting sqref="P76:P81">
    <cfRule type="containsText" dxfId="4028" priority="4028" operator="containsText" text="[pluk]">
      <formula>NOT(ISERROR(SEARCH("[pluk]",P76)))</formula>
    </cfRule>
  </conditionalFormatting>
  <conditionalFormatting sqref="P76:P82">
    <cfRule type="cellIs" dxfId="4027" priority="4015" operator="equal">
      <formula>"ID+"</formula>
    </cfRule>
    <cfRule type="cellIs" dxfId="4026" priority="4029" operator="equal">
      <formula>"ID+"</formula>
    </cfRule>
    <cfRule type="cellIs" dxfId="4025" priority="4030" operator="equal">
      <formula>"HK*"</formula>
    </cfRule>
    <cfRule type="cellIs" dxfId="4024" priority="4031" operator="equal">
      <formula>"HK"</formula>
    </cfRule>
    <cfRule type="cellIs" dxfId="4023" priority="4032" operator="equal">
      <formula>"HK+"</formula>
    </cfRule>
    <cfRule type="cellIs" dxfId="4022" priority="4033" operator="equal">
      <formula>"ID"</formula>
    </cfRule>
    <cfRule type="cellIs" dxfId="4021" priority="4034" operator="equal">
      <formula>"ID*"</formula>
    </cfRule>
    <cfRule type="cellIs" dxfId="4020" priority="4035" operator="equal">
      <formula>"LC*"</formula>
    </cfRule>
    <cfRule type="cellIs" dxfId="4019" priority="4036" operator="equal">
      <formula>"LC+"</formula>
    </cfRule>
    <cfRule type="cellIs" dxfId="4018" priority="4037" operator="equal">
      <formula>"LC"</formula>
    </cfRule>
    <cfRule type="cellIs" dxfId="4017" priority="4038" operator="equal">
      <formula>"_"</formula>
    </cfRule>
    <cfRule type="containsText" dxfId="4016" priority="4039" operator="containsText" text="[adv]">
      <formula>NOT(ISERROR(SEARCH("[adv]",P76)))</formula>
    </cfRule>
    <cfRule type="cellIs" dxfId="4015" priority="4790" operator="equal">
      <formula>"LC*"</formula>
    </cfRule>
    <cfRule type="cellIs" dxfId="4014" priority="4791" operator="equal">
      <formula>"LC+"</formula>
    </cfRule>
    <cfRule type="cellIs" dxfId="4013" priority="4792" operator="equal">
      <formula>"LC"</formula>
    </cfRule>
    <cfRule type="cellIs" dxfId="4012" priority="4793" operator="equal">
      <formula>"ID+"</formula>
    </cfRule>
    <cfRule type="containsText" dxfId="4011" priority="4794" operator="containsText" text="[pluk]">
      <formula>NOT(ISERROR(SEARCH("[pluk]",P76)))</formula>
    </cfRule>
    <cfRule type="cellIs" dxfId="4010" priority="4795" operator="equal">
      <formula>"HK*"</formula>
    </cfRule>
    <cfRule type="cellIs" dxfId="4009" priority="4796" operator="equal">
      <formula>"HK"</formula>
    </cfRule>
    <cfRule type="cellIs" dxfId="4008" priority="4797" operator="equal">
      <formula>"HK+"</formula>
    </cfRule>
    <cfRule type="cellIs" dxfId="4007" priority="4798" operator="equal">
      <formula>"ID"</formula>
    </cfRule>
    <cfRule type="cellIs" dxfId="4006" priority="4799" operator="equal">
      <formula>"ID*"</formula>
    </cfRule>
    <cfRule type="cellIs" dxfId="4005" priority="4800" operator="equal">
      <formula>"_"</formula>
    </cfRule>
    <cfRule type="cellIs" dxfId="4004" priority="4847" operator="equal">
      <formula>"LC*"</formula>
    </cfRule>
    <cfRule type="cellIs" dxfId="4003" priority="4848" operator="equal">
      <formula>"LC+"</formula>
    </cfRule>
    <cfRule type="cellIs" dxfId="4002" priority="4849" operator="equal">
      <formula>"LC"</formula>
    </cfRule>
    <cfRule type="cellIs" dxfId="4001" priority="4850" operator="equal">
      <formula>"ID+"</formula>
    </cfRule>
    <cfRule type="cellIs" dxfId="4000" priority="4852" operator="equal">
      <formula>"HK*"</formula>
    </cfRule>
    <cfRule type="cellIs" dxfId="3999" priority="4853" operator="equal">
      <formula>"HK"</formula>
    </cfRule>
    <cfRule type="cellIs" dxfId="3998" priority="4854" operator="equal">
      <formula>"HK+"</formula>
    </cfRule>
    <cfRule type="cellIs" dxfId="3997" priority="4855" operator="equal">
      <formula>"ID"</formula>
    </cfRule>
    <cfRule type="cellIs" dxfId="3996" priority="4856" operator="equal">
      <formula>"ID*"</formula>
    </cfRule>
    <cfRule type="cellIs" dxfId="3995" priority="4857" operator="equal">
      <formula>"_"</formula>
    </cfRule>
  </conditionalFormatting>
  <conditionalFormatting sqref="P79">
    <cfRule type="containsText" dxfId="3994" priority="4789" operator="containsText" text="[adv]">
      <formula>NOT(ISERROR(SEARCH("[adv]",P79)))</formula>
    </cfRule>
    <cfRule type="containsText" dxfId="3993" priority="4844" operator="containsText" text="[adv]">
      <formula>NOT(ISERROR(SEARCH("[adv]",P79)))</formula>
    </cfRule>
  </conditionalFormatting>
  <conditionalFormatting sqref="P80:P82">
    <cfRule type="containsText" dxfId="3992" priority="4022" operator="containsText" text="[pluk]">
      <formula>NOT(ISERROR(SEARCH("[pluk]",P80)))</formula>
    </cfRule>
    <cfRule type="cellIs" dxfId="3991" priority="4023" operator="equal">
      <formula>"HK*"</formula>
    </cfRule>
    <cfRule type="cellIs" dxfId="3990" priority="4024" operator="equal">
      <formula>"HK"</formula>
    </cfRule>
    <cfRule type="cellIs" dxfId="3989" priority="4025" operator="equal">
      <formula>"HK+"</formula>
    </cfRule>
    <cfRule type="cellIs" dxfId="3988" priority="4026" operator="equal">
      <formula>"ID"</formula>
    </cfRule>
    <cfRule type="cellIs" dxfId="3987" priority="4027" operator="equal">
      <formula>"ID*"</formula>
    </cfRule>
  </conditionalFormatting>
  <conditionalFormatting sqref="P82">
    <cfRule type="timePeriod" dxfId="3986" priority="4040" timePeriod="thisMonth">
      <formula>AND(MONTH(P82)=MONTH(TODAY()),YEAR(P82)=YEAR(TODAY()))</formula>
    </cfRule>
  </conditionalFormatting>
  <conditionalFormatting sqref="P84:P87">
    <cfRule type="cellIs" dxfId="3985" priority="3994" operator="equal">
      <formula>"ID+"</formula>
    </cfRule>
    <cfRule type="containsText" dxfId="3984" priority="3995" operator="containsText" text="[pluk]">
      <formula>NOT(ISERROR(SEARCH("[pluk]",P84)))</formula>
    </cfRule>
    <cfRule type="cellIs" dxfId="3983" priority="3996" operator="equal">
      <formula>"HK*"</formula>
    </cfRule>
    <cfRule type="cellIs" dxfId="3982" priority="3997" operator="equal">
      <formula>"HK"</formula>
    </cfRule>
    <cfRule type="cellIs" dxfId="3981" priority="3998" operator="equal">
      <formula>"HK+"</formula>
    </cfRule>
    <cfRule type="cellIs" dxfId="3980" priority="3999" operator="equal">
      <formula>"ID"</formula>
    </cfRule>
    <cfRule type="cellIs" dxfId="3979" priority="4000" operator="equal">
      <formula>"ID*"</formula>
    </cfRule>
  </conditionalFormatting>
  <conditionalFormatting sqref="P84:P89">
    <cfRule type="containsText" dxfId="3978" priority="4008" operator="containsText" text="[pluk]">
      <formula>NOT(ISERROR(SEARCH("[pluk]",P84)))</formula>
    </cfRule>
  </conditionalFormatting>
  <conditionalFormatting sqref="P84:P90">
    <cfRule type="cellIs" dxfId="3977" priority="4009" operator="equal">
      <formula>"LC*"</formula>
    </cfRule>
    <cfRule type="cellIs" dxfId="3976" priority="4010" operator="equal">
      <formula>"LC+"</formula>
    </cfRule>
    <cfRule type="cellIs" dxfId="3975" priority="4011" operator="equal">
      <formula>"LC"</formula>
    </cfRule>
    <cfRule type="cellIs" dxfId="3974" priority="4012" operator="equal">
      <formula>"_"</formula>
    </cfRule>
    <cfRule type="containsText" dxfId="3973" priority="4013" operator="containsText" text="[adv]">
      <formula>NOT(ISERROR(SEARCH("[adv]",P84)))</formula>
    </cfRule>
  </conditionalFormatting>
  <conditionalFormatting sqref="P88:P90">
    <cfRule type="cellIs" dxfId="3972" priority="4001" operator="equal">
      <formula>"ID+"</formula>
    </cfRule>
    <cfRule type="containsText" dxfId="3971" priority="4002" operator="containsText" text="[pluk]">
      <formula>NOT(ISERROR(SEARCH("[pluk]",P88)))</formula>
    </cfRule>
    <cfRule type="cellIs" dxfId="3970" priority="4003" operator="equal">
      <formula>"HK*"</formula>
    </cfRule>
    <cfRule type="cellIs" dxfId="3969" priority="4004" operator="equal">
      <formula>"HK"</formula>
    </cfRule>
    <cfRule type="cellIs" dxfId="3968" priority="4005" operator="equal">
      <formula>"HK+"</formula>
    </cfRule>
    <cfRule type="cellIs" dxfId="3967" priority="4006" operator="equal">
      <formula>"ID"</formula>
    </cfRule>
    <cfRule type="cellIs" dxfId="3966" priority="4007" operator="equal">
      <formula>"ID*"</formula>
    </cfRule>
  </conditionalFormatting>
  <conditionalFormatting sqref="P90">
    <cfRule type="timePeriod" dxfId="3965" priority="4014" timePeriod="thisMonth">
      <formula>AND(MONTH(P90)=MONTH(TODAY()),YEAR(P90)=YEAR(TODAY()))</formula>
    </cfRule>
  </conditionalFormatting>
  <conditionalFormatting sqref="P92:P98 P100:P106 P116:P122 P124:P130 P132:P138 P140:P146 P156:P162 P164:P170 P172:P178 P196:P202 P204:P210 P220:P226 P228:P234 P244:P250 P252:P258 P260:P266 P284:P290 P324:P330 P332:P338 P340:P346 P356:P362 P364:P370 P380:P386 P388:P394 P404:P410 P412:P418 AB110 P108:P114 P148:P154 P180:P186 P188:P194 P212:P218 P236:P242 P292:P298 P300:P306 P308:P314 P316:P322 P268:P274 P276:P282 P348:P354 P372:P378 P396:P402 P19:P23 P36:P42 P60:P66 P68:P74 P84:P90 E3:E11 P3:P14 AB3:AB102 AB104:AB107 P25:P34 P52:P58">
    <cfRule type="cellIs" dxfId="3964" priority="7994" operator="equal">
      <formula>"HK*"</formula>
    </cfRule>
    <cfRule type="cellIs" dxfId="3963" priority="7995" operator="equal">
      <formula>"HK"</formula>
    </cfRule>
    <cfRule type="cellIs" dxfId="3962" priority="7997" operator="equal">
      <formula>"ID"</formula>
    </cfRule>
  </conditionalFormatting>
  <conditionalFormatting sqref="P239">
    <cfRule type="cellIs" dxfId="3961" priority="6583" operator="equal">
      <formula>"LC*"</formula>
    </cfRule>
    <cfRule type="cellIs" dxfId="3960" priority="6584" operator="equal">
      <formula>"LC+"</formula>
    </cfRule>
    <cfRule type="cellIs" dxfId="3959" priority="6585" operator="equal">
      <formula>"LC"</formula>
    </cfRule>
    <cfRule type="containsText" dxfId="3958" priority="6586" operator="containsText" text="[pluk]">
      <formula>NOT(ISERROR(SEARCH("[pluk]",P239)))</formula>
    </cfRule>
    <cfRule type="cellIs" dxfId="3957" priority="6587" operator="equal">
      <formula>"_"</formula>
    </cfRule>
  </conditionalFormatting>
  <conditionalFormatting sqref="P239:P241">
    <cfRule type="containsText" dxfId="3956" priority="6572" operator="containsText" text="[adv]">
      <formula>NOT(ISERROR(SEARCH("[adv]",P239)))</formula>
    </cfRule>
  </conditionalFormatting>
  <conditionalFormatting sqref="P240">
    <cfRule type="cellIs" dxfId="3955" priority="6578" operator="equal">
      <formula>"LC*"</formula>
    </cfRule>
    <cfRule type="cellIs" dxfId="3954" priority="6579" operator="equal">
      <formula>"LC+"</formula>
    </cfRule>
    <cfRule type="cellIs" dxfId="3953" priority="6580" operator="equal">
      <formula>"LC"</formula>
    </cfRule>
  </conditionalFormatting>
  <conditionalFormatting sqref="P240:P242">
    <cfRule type="containsText" dxfId="3952" priority="6581" operator="containsText" text="[pluk]">
      <formula>NOT(ISERROR(SEARCH("[pluk]",P240)))</formula>
    </cfRule>
    <cfRule type="cellIs" dxfId="3951" priority="6582" operator="equal">
      <formula>"_"</formula>
    </cfRule>
  </conditionalFormatting>
  <conditionalFormatting sqref="P241">
    <cfRule type="cellIs" dxfId="3950" priority="6573" operator="equal">
      <formula>"LC*"</formula>
    </cfRule>
    <cfRule type="cellIs" dxfId="3949" priority="6574" operator="equal">
      <formula>"LC+"</formula>
    </cfRule>
    <cfRule type="cellIs" dxfId="3948" priority="6575" operator="equal">
      <formula>"LC"</formula>
    </cfRule>
    <cfRule type="containsText" dxfId="3947" priority="6576" operator="containsText" text="[pluk]">
      <formula>NOT(ISERROR(SEARCH("[pluk]",P241)))</formula>
    </cfRule>
    <cfRule type="cellIs" dxfId="3946" priority="6577" operator="equal">
      <formula>"_"</formula>
    </cfRule>
  </conditionalFormatting>
  <conditionalFormatting sqref="P264">
    <cfRule type="containsText" dxfId="3945" priority="6557" operator="containsText" text="[adv]">
      <formula>NOT(ISERROR(SEARCH("[adv]",P264)))</formula>
    </cfRule>
    <cfRule type="cellIs" dxfId="3944" priority="6558" operator="equal">
      <formula>"LC*"</formula>
    </cfRule>
    <cfRule type="cellIs" dxfId="3943" priority="6559" operator="equal">
      <formula>"LC+"</formula>
    </cfRule>
    <cfRule type="cellIs" dxfId="3942" priority="6560" operator="equal">
      <formula>"LC"</formula>
    </cfRule>
    <cfRule type="cellIs" dxfId="3941" priority="6561" operator="equal">
      <formula>"ID+"</formula>
    </cfRule>
    <cfRule type="cellIs" dxfId="3940" priority="6563" operator="equal">
      <formula>"HK*"</formula>
    </cfRule>
    <cfRule type="cellIs" dxfId="3939" priority="6564" operator="equal">
      <formula>"HK"</formula>
    </cfRule>
    <cfRule type="cellIs" dxfId="3938" priority="6565" operator="equal">
      <formula>"HK+"</formula>
    </cfRule>
    <cfRule type="cellIs" dxfId="3937" priority="6566" operator="equal">
      <formula>"ID"</formula>
    </cfRule>
    <cfRule type="cellIs" dxfId="3936" priority="6567" operator="equal">
      <formula>"ID*"</formula>
    </cfRule>
  </conditionalFormatting>
  <conditionalFormatting sqref="P1:Q1 AB1:AC1 E1:E2 P2 AB2">
    <cfRule type="cellIs" dxfId="3935" priority="6017" operator="equal">
      <formula>"ID+"</formula>
    </cfRule>
  </conditionalFormatting>
  <conditionalFormatting sqref="P1:Q1 AB1:AC1 E1:E2 P2 AB2">
    <cfRule type="cellIs" dxfId="3934" priority="6021" operator="equal">
      <formula>"HK+"</formula>
    </cfRule>
    <cfRule type="cellIs" dxfId="3933" priority="6023" operator="equal">
      <formula>"ID*"</formula>
    </cfRule>
  </conditionalFormatting>
  <conditionalFormatting sqref="P1:Q1 AB1:AC1 E1:E2 P2 AB2">
    <cfRule type="cellIs" dxfId="3932" priority="6019" operator="equal">
      <formula>"HK*"</formula>
    </cfRule>
    <cfRule type="cellIs" dxfId="3931" priority="6020" operator="equal">
      <formula>"HK"</formula>
    </cfRule>
    <cfRule type="cellIs" dxfId="3930" priority="6022" operator="equal">
      <formula>"ID"</formula>
    </cfRule>
  </conditionalFormatting>
  <conditionalFormatting sqref="P1:Q1 AB1:AC1">
    <cfRule type="cellIs" dxfId="3929" priority="5997" operator="equal">
      <formula>"GJ+"</formula>
    </cfRule>
    <cfRule type="cellIs" dxfId="3928" priority="5998" operator="equal">
      <formula>"GJ"</formula>
    </cfRule>
    <cfRule type="cellIs" dxfId="3927" priority="5999" operator="equal">
      <formula>"GJ*"</formula>
    </cfRule>
  </conditionalFormatting>
  <conditionalFormatting sqref="P120:Q120 S120">
    <cfRule type="cellIs" dxfId="3926" priority="7496" operator="equal">
      <formula>"_"</formula>
    </cfRule>
  </conditionalFormatting>
  <conditionalFormatting sqref="P264:Q264">
    <cfRule type="containsText" dxfId="3925" priority="6562" operator="containsText" text="[pluk]">
      <formula>NOT(ISERROR(SEARCH("[pluk]",P264)))</formula>
    </cfRule>
  </conditionalFormatting>
  <conditionalFormatting sqref="P420:Q1048576 AB420:AC1048576">
    <cfRule type="cellIs" dxfId="3924" priority="8077" operator="equal">
      <formula>"GJ+"</formula>
    </cfRule>
    <cfRule type="cellIs" dxfId="3923" priority="8078" operator="equal">
      <formula>"GJ"</formula>
    </cfRule>
    <cfRule type="cellIs" dxfId="3922" priority="8079" operator="equal">
      <formula>"GJ*"</formula>
    </cfRule>
  </conditionalFormatting>
  <conditionalFormatting sqref="Q4:Q9">
    <cfRule type="containsText" dxfId="3921" priority="7915" operator="containsText" text="[adv]">
      <formula>NOT(ISERROR(SEARCH("[adv]",Q4)))</formula>
    </cfRule>
  </conditionalFormatting>
  <conditionalFormatting sqref="Q10">
    <cfRule type="timePeriod" dxfId="3920" priority="7916" timePeriod="thisMonth">
      <formula>AND(MONTH(Q10)=MONTH(TODAY()),YEAR(Q10)=YEAR(TODAY()))</formula>
    </cfRule>
  </conditionalFormatting>
  <conditionalFormatting sqref="Q12:Q16">
    <cfRule type="containsText" dxfId="3919" priority="5138" operator="containsText" text="[adv]">
      <formula>NOT(ISERROR(SEARCH("[adv]",Q12)))</formula>
    </cfRule>
  </conditionalFormatting>
  <conditionalFormatting sqref="Q24">
    <cfRule type="containsText" dxfId="3918" priority="3111" operator="containsText" text="[adv]">
      <formula>NOT(ISERROR(SEARCH("[adv]",Q24)))</formula>
    </cfRule>
  </conditionalFormatting>
  <conditionalFormatting sqref="Q28">
    <cfRule type="cellIs" dxfId="3917" priority="7783" operator="equal">
      <formula>"Moestuin"</formula>
    </cfRule>
    <cfRule type="cellIs" dxfId="3916" priority="7784" operator="equal">
      <formula>"Hub"</formula>
    </cfRule>
    <cfRule type="cellIs" dxfId="3915" priority="7785" operator="equal">
      <formula>"Snoeien"</formula>
    </cfRule>
    <cfRule type="cellIs" dxfId="3914" priority="7786" operator="equal">
      <formula>"Biodiversiteit"</formula>
    </cfRule>
    <cfRule type="cellIs" dxfId="3913" priority="7787" operator="equal">
      <formula>"Kamerplanten"</formula>
    </cfRule>
    <cfRule type="cellIs" dxfId="3912" priority="7788" operator="equal">
      <formula>"RERUN"</formula>
    </cfRule>
    <cfRule type="cellIs" dxfId="3911" priority="7789" operator="equal">
      <formula>"Kweken"</formula>
    </cfRule>
    <cfRule type="cellIs" dxfId="3910" priority="7790" operator="equal">
      <formula>"Partnerbijdrage"</formula>
    </cfRule>
    <cfRule type="cellIs" dxfId="3909" priority="7791" operator="equal">
      <formula>"TV-pagina"</formula>
    </cfRule>
    <cfRule type="cellIs" dxfId="3908" priority="7792" operator="equal">
      <formula>"Tuinklussen"</formula>
    </cfRule>
    <cfRule type="cellIs" dxfId="3907" priority="7793" operator="equal">
      <formula>"Inspiratie"</formula>
    </cfRule>
  </conditionalFormatting>
  <conditionalFormatting sqref="Q30">
    <cfRule type="containsText" dxfId="3906" priority="1540" operator="containsText" text="[adv]">
      <formula>NOT(ISERROR(SEARCH("[adv]",Q30)))</formula>
    </cfRule>
  </conditionalFormatting>
  <conditionalFormatting sqref="Q41 S41:T41 T42">
    <cfRule type="cellIs" dxfId="3905" priority="7616" operator="equal">
      <formula>"_"</formula>
    </cfRule>
  </conditionalFormatting>
  <conditionalFormatting sqref="Q44 S44:T44 T45:T46">
    <cfRule type="containsText" dxfId="3904" priority="1323" operator="containsText" text="[pluk]">
      <formula>NOT(ISERROR(SEARCH("[pluk]",Q44)))</formula>
    </cfRule>
  </conditionalFormatting>
  <conditionalFormatting sqref="Q56 S56:T56">
    <cfRule type="containsText" dxfId="3903" priority="1384" operator="containsText" text="[pluk]">
      <formula>NOT(ISERROR(SEARCH("[pluk]",Q56)))</formula>
    </cfRule>
    <cfRule type="cellIs" dxfId="3902" priority="1385" operator="equal">
      <formula>"_"</formula>
    </cfRule>
  </conditionalFormatting>
  <conditionalFormatting sqref="Q76:Q82">
    <cfRule type="containsText" dxfId="3901" priority="4829" operator="containsText" text="[adv]">
      <formula>NOT(ISERROR(SEARCH("[adv]",Q76)))</formula>
    </cfRule>
    <cfRule type="containsText" dxfId="3900" priority="4830" operator="containsText" text="[pluk]">
      <formula>NOT(ISERROR(SEARCH("[pluk]",Q76)))</formula>
    </cfRule>
    <cfRule type="cellIs" dxfId="3899" priority="4831" operator="equal">
      <formula>"_"</formula>
    </cfRule>
    <cfRule type="cellIs" dxfId="3898" priority="4832" operator="equal">
      <formula>"Moestuin"</formula>
    </cfRule>
    <cfRule type="cellIs" dxfId="3897" priority="4833" operator="equal">
      <formula>"Hub"</formula>
    </cfRule>
    <cfRule type="cellIs" dxfId="3896" priority="4834" operator="equal">
      <formula>"Snoeien"</formula>
    </cfRule>
    <cfRule type="cellIs" dxfId="3895" priority="4835" operator="equal">
      <formula>"Biodiversiteit"</formula>
    </cfRule>
    <cfRule type="cellIs" dxfId="3894" priority="4836" operator="equal">
      <formula>"Kamerplanten"</formula>
    </cfRule>
    <cfRule type="cellIs" dxfId="3893" priority="4837" operator="equal">
      <formula>"RERUN"</formula>
    </cfRule>
    <cfRule type="cellIs" dxfId="3892" priority="4838" operator="equal">
      <formula>"Kweken"</formula>
    </cfRule>
    <cfRule type="cellIs" dxfId="3891" priority="4839" operator="equal">
      <formula>"Partnerbijdrage"</formula>
    </cfRule>
    <cfRule type="cellIs" dxfId="3890" priority="4840" operator="equal">
      <formula>"TV-pagina"</formula>
    </cfRule>
    <cfRule type="cellIs" dxfId="3889" priority="4841" operator="equal">
      <formula>"Tuinklussen"</formula>
    </cfRule>
    <cfRule type="cellIs" dxfId="3888" priority="4842" operator="equal">
      <formula>"Inspiratie"</formula>
    </cfRule>
  </conditionalFormatting>
  <conditionalFormatting sqref="Q102:Q106 Q116:Q119">
    <cfRule type="containsText" dxfId="3887" priority="7913" operator="containsText" text="[pluk]">
      <formula>NOT(ISERROR(SEARCH("[pluk]",Q102)))</formula>
    </cfRule>
  </conditionalFormatting>
  <conditionalFormatting sqref="Q102:Q106 S111 Q108:Q114 Q116:Q119">
    <cfRule type="cellIs" dxfId="3886" priority="7914" operator="equal">
      <formula>"_"</formula>
    </cfRule>
  </conditionalFormatting>
  <conditionalFormatting sqref="Q144">
    <cfRule type="timePeriod" dxfId="3885" priority="7917" timePeriod="thisMonth">
      <formula>AND(MONTH(Q144)=MONTH(TODAY()),YEAR(Q144)=YEAR(TODAY()))</formula>
    </cfRule>
    <cfRule type="cellIs" dxfId="3884" priority="7918" operator="equal">
      <formula>"Moestuin"</formula>
    </cfRule>
    <cfRule type="cellIs" dxfId="3883" priority="7919" operator="equal">
      <formula>"Hub"</formula>
    </cfRule>
    <cfRule type="cellIs" dxfId="3882" priority="7920" operator="equal">
      <formula>"Snoeien"</formula>
    </cfRule>
    <cfRule type="cellIs" dxfId="3881" priority="7921" operator="equal">
      <formula>"Biodiversiteit"</formula>
    </cfRule>
    <cfRule type="cellIs" dxfId="3880" priority="7922" operator="equal">
      <formula>"Kamerplanten"</formula>
    </cfRule>
    <cfRule type="cellIs" dxfId="3879" priority="7923" operator="equal">
      <formula>"RERUN"</formula>
    </cfRule>
    <cfRule type="cellIs" dxfId="3878" priority="7924" operator="equal">
      <formula>"Kweken"</formula>
    </cfRule>
    <cfRule type="cellIs" dxfId="3877" priority="7925" operator="equal">
      <formula>"Partnerbijdrage"</formula>
    </cfRule>
    <cfRule type="cellIs" dxfId="3876" priority="7926" operator="equal">
      <formula>"TV-pagina"</formula>
    </cfRule>
    <cfRule type="cellIs" dxfId="3875" priority="7927" operator="equal">
      <formula>"Tuinklussen"</formula>
    </cfRule>
    <cfRule type="cellIs" dxfId="3874" priority="7928" operator="equal">
      <formula>"Inspiratie"</formula>
    </cfRule>
  </conditionalFormatting>
  <conditionalFormatting sqref="Q201 S201">
    <cfRule type="containsText" dxfId="3873" priority="6858" operator="containsText" text="[adv]">
      <formula>NOT(ISERROR(SEARCH("[adv]",Q201)))</formula>
    </cfRule>
  </conditionalFormatting>
  <conditionalFormatting sqref="Q201">
    <cfRule type="cellIs" dxfId="3872" priority="6896" operator="equal">
      <formula>"LC*"</formula>
    </cfRule>
    <cfRule type="cellIs" dxfId="3871" priority="6897" operator="equal">
      <formula>"LC+"</formula>
    </cfRule>
    <cfRule type="cellIs" dxfId="3870" priority="6898" operator="equal">
      <formula>"LC"</formula>
    </cfRule>
    <cfRule type="cellIs" dxfId="3869" priority="6899" operator="equal">
      <formula>"GJ+"</formula>
    </cfRule>
    <cfRule type="cellIs" dxfId="3868" priority="6900" operator="equal">
      <formula>"GJ"</formula>
    </cfRule>
    <cfRule type="cellIs" dxfId="3867" priority="6901" operator="equal">
      <formula>"GJ*"</formula>
    </cfRule>
    <cfRule type="cellIs" dxfId="3866" priority="6902" operator="equal">
      <formula>"ID+"</formula>
    </cfRule>
    <cfRule type="cellIs" dxfId="3865" priority="6903" operator="equal">
      <formula>"HK*"</formula>
    </cfRule>
    <cfRule type="cellIs" dxfId="3864" priority="6904" operator="equal">
      <formula>"HK"</formula>
    </cfRule>
    <cfRule type="cellIs" dxfId="3863" priority="6905" operator="equal">
      <formula>"HK+"</formula>
    </cfRule>
    <cfRule type="cellIs" dxfId="3862" priority="6906" operator="equal">
      <formula>"ID"</formula>
    </cfRule>
    <cfRule type="cellIs" dxfId="3861" priority="6907" operator="equal">
      <formula>"ID*"</formula>
    </cfRule>
    <cfRule type="containsText" dxfId="3860" priority="6908" operator="containsText" text="[adv]">
      <formula>NOT(ISERROR(SEARCH("[adv]",Q201)))</formula>
    </cfRule>
  </conditionalFormatting>
  <conditionalFormatting sqref="Q241:Q242 U244:X250">
    <cfRule type="containsText" dxfId="3859" priority="6417" operator="containsText" text="[pluk]">
      <formula>NOT(ISERROR(SEARCH("[pluk]",Q241)))</formula>
    </cfRule>
  </conditionalFormatting>
  <conditionalFormatting sqref="Q244:Q250 S244:S250 U244:X250">
    <cfRule type="cellIs" dxfId="3858" priority="6418" operator="equal">
      <formula>"_"</formula>
    </cfRule>
  </conditionalFormatting>
  <conditionalFormatting sqref="Q264">
    <cfRule type="cellIs" dxfId="3857" priority="6546" operator="equal">
      <formula>"Moestuin"</formula>
    </cfRule>
    <cfRule type="cellIs" dxfId="3856" priority="6547" operator="equal">
      <formula>"Hub"</formula>
    </cfRule>
    <cfRule type="cellIs" dxfId="3855" priority="6548" operator="equal">
      <formula>"Snoeien"</formula>
    </cfRule>
    <cfRule type="cellIs" dxfId="3854" priority="6549" operator="equal">
      <formula>"Biodiversiteit"</formula>
    </cfRule>
    <cfRule type="cellIs" dxfId="3853" priority="6550" operator="equal">
      <formula>"Kamerplanten"</formula>
    </cfRule>
    <cfRule type="cellIs" dxfId="3852" priority="6551" operator="equal">
      <formula>"RERUN"</formula>
    </cfRule>
    <cfRule type="cellIs" dxfId="3851" priority="6552" operator="equal">
      <formula>"Kweken"</formula>
    </cfRule>
    <cfRule type="cellIs" dxfId="3850" priority="6553" operator="equal">
      <formula>"Partnerbijdrage"</formula>
    </cfRule>
    <cfRule type="cellIs" dxfId="3849" priority="6554" operator="equal">
      <formula>"TV-pagina"</formula>
    </cfRule>
    <cfRule type="cellIs" dxfId="3848" priority="6555" operator="equal">
      <formula>"Tuinklussen"</formula>
    </cfRule>
    <cfRule type="cellIs" dxfId="3847" priority="6556" operator="equal">
      <formula>"Inspiratie"</formula>
    </cfRule>
    <cfRule type="cellIs" dxfId="3846" priority="6568" operator="equal">
      <formula>"_"</formula>
    </cfRule>
  </conditionalFormatting>
  <conditionalFormatting sqref="Q304:Q306 S304:S306 U304:X306">
    <cfRule type="cellIs" dxfId="3845" priority="6272" operator="equal">
      <formula>"_"</formula>
    </cfRule>
  </conditionalFormatting>
  <conditionalFormatting sqref="Q344:Q345 S344:S345 U344:X345">
    <cfRule type="cellIs" dxfId="3844" priority="6183" operator="equal">
      <formula>"_"</formula>
    </cfRule>
  </conditionalFormatting>
  <conditionalFormatting sqref="Q383:Q386 S383:S386 Q419:X419 U383:X386 U388:X394 S388:S394 Q388:Q394 Q396:Q402 S396:S402 U396:X402 U404:X410 S404:S410 Q404:Q410 Q412:Q418 S412:S418 U412:X418">
    <cfRule type="cellIs" dxfId="3843" priority="6111" operator="equal">
      <formula>"_"</formula>
    </cfRule>
  </conditionalFormatting>
  <conditionalFormatting sqref="Q115:X115">
    <cfRule type="containsText" dxfId="3842" priority="2683" operator="containsText" text="[pluk]">
      <formula>NOT(ISERROR(SEARCH("[pluk]",Q115)))</formula>
    </cfRule>
  </conditionalFormatting>
  <conditionalFormatting sqref="Q131:X131">
    <cfRule type="containsText" dxfId="3841" priority="2631" operator="containsText" text="[pluk]">
      <formula>NOT(ISERROR(SEARCH("[pluk]",Q131)))</formula>
    </cfRule>
  </conditionalFormatting>
  <conditionalFormatting sqref="Q147:X147">
    <cfRule type="containsText" dxfId="3840" priority="2579" operator="containsText" text="[pluk]">
      <formula>NOT(ISERROR(SEARCH("[pluk]",Q147)))</formula>
    </cfRule>
  </conditionalFormatting>
  <conditionalFormatting sqref="Q163:X163">
    <cfRule type="containsText" dxfId="3839" priority="2524" operator="containsText" text="[pluk]">
      <formula>NOT(ISERROR(SEARCH("[pluk]",Q163)))</formula>
    </cfRule>
  </conditionalFormatting>
  <conditionalFormatting sqref="Q179:X179">
    <cfRule type="containsText" dxfId="3838" priority="2469" operator="containsText" text="[pluk]">
      <formula>NOT(ISERROR(SEARCH("[pluk]",Q179)))</formula>
    </cfRule>
  </conditionalFormatting>
  <conditionalFormatting sqref="Q195:X195">
    <cfRule type="containsText" dxfId="3837" priority="2407" operator="containsText" text="[pluk]">
      <formula>NOT(ISERROR(SEARCH("[pluk]",Q195)))</formula>
    </cfRule>
  </conditionalFormatting>
  <conditionalFormatting sqref="Q211:X211">
    <cfRule type="containsText" dxfId="3836" priority="2344" operator="containsText" text="[pluk]">
      <formula>NOT(ISERROR(SEARCH("[pluk]",Q211)))</formula>
    </cfRule>
  </conditionalFormatting>
  <conditionalFormatting sqref="Q227:X227">
    <cfRule type="containsText" dxfId="3835" priority="2281" operator="containsText" text="[pluk]">
      <formula>NOT(ISERROR(SEARCH("[pluk]",Q227)))</formula>
    </cfRule>
  </conditionalFormatting>
  <conditionalFormatting sqref="Q243:X243">
    <cfRule type="containsText" dxfId="3834" priority="2218" operator="containsText" text="[pluk]">
      <formula>NOT(ISERROR(SEARCH("[pluk]",Q243)))</formula>
    </cfRule>
  </conditionalFormatting>
  <conditionalFormatting sqref="Q259:X259">
    <cfRule type="containsText" dxfId="3833" priority="2153" operator="containsText" text="[pluk]">
      <formula>NOT(ISERROR(SEARCH("[pluk]",Q259)))</formula>
    </cfRule>
  </conditionalFormatting>
  <conditionalFormatting sqref="Q275:X275">
    <cfRule type="containsText" dxfId="3832" priority="2091" operator="containsText" text="[pluk]">
      <formula>NOT(ISERROR(SEARCH("[pluk]",Q275)))</formula>
    </cfRule>
  </conditionalFormatting>
  <conditionalFormatting sqref="Q291:X291">
    <cfRule type="containsText" dxfId="3831" priority="2031" operator="containsText" text="[pluk]">
      <formula>NOT(ISERROR(SEARCH("[pluk]",Q291)))</formula>
    </cfRule>
  </conditionalFormatting>
  <conditionalFormatting sqref="Q307:X307">
    <cfRule type="containsText" dxfId="3830" priority="1968" operator="containsText" text="[pluk]">
      <formula>NOT(ISERROR(SEARCH("[pluk]",Q307)))</formula>
    </cfRule>
  </conditionalFormatting>
  <conditionalFormatting sqref="Q323:X323">
    <cfRule type="containsText" dxfId="3829" priority="1905" operator="containsText" text="[pluk]">
      <formula>NOT(ISERROR(SEARCH("[pluk]",Q323)))</formula>
    </cfRule>
  </conditionalFormatting>
  <conditionalFormatting sqref="Q339:X339">
    <cfRule type="containsText" dxfId="3828" priority="1842" operator="containsText" text="[pluk]">
      <formula>NOT(ISERROR(SEARCH("[pluk]",Q339)))</formula>
    </cfRule>
  </conditionalFormatting>
  <conditionalFormatting sqref="Q355:X355">
    <cfRule type="containsText" dxfId="3827" priority="1778" operator="containsText" text="[pluk]">
      <formula>NOT(ISERROR(SEARCH("[pluk]",Q355)))</formula>
    </cfRule>
  </conditionalFormatting>
  <conditionalFormatting sqref="Q371:X371">
    <cfRule type="containsText" dxfId="3826" priority="1715" operator="containsText" text="[pluk]">
      <formula>NOT(ISERROR(SEARCH("[pluk]",Q371)))</formula>
    </cfRule>
  </conditionalFormatting>
  <conditionalFormatting sqref="Q387:X387">
    <cfRule type="containsText" dxfId="3825" priority="1654" operator="containsText" text="[pluk]">
      <formula>NOT(ISERROR(SEARCH("[pluk]",Q387)))</formula>
    </cfRule>
  </conditionalFormatting>
  <conditionalFormatting sqref="Q403:X403">
    <cfRule type="containsText" dxfId="3824" priority="1593" operator="containsText" text="[pluk]">
      <formula>NOT(ISERROR(SEARCH("[pluk]",Q403)))</formula>
    </cfRule>
  </conditionalFormatting>
  <conditionalFormatting sqref="R1:R2">
    <cfRule type="cellIs" dxfId="3823" priority="5986" operator="equal">
      <formula>"Moestuin"</formula>
    </cfRule>
    <cfRule type="cellIs" dxfId="3822" priority="5987" operator="equal">
      <formula>"Hub"</formula>
    </cfRule>
    <cfRule type="cellIs" dxfId="3821" priority="5988" operator="equal">
      <formula>"Snoeien"</formula>
    </cfRule>
    <cfRule type="cellIs" dxfId="3820" priority="5989" operator="equal">
      <formula>"Biodiversiteit"</formula>
    </cfRule>
    <cfRule type="cellIs" dxfId="3819" priority="5990" operator="equal">
      <formula>"Kamerplanten"</formula>
    </cfRule>
    <cfRule type="cellIs" dxfId="3818" priority="5991" operator="equal">
      <formula>"RERUN"</formula>
    </cfRule>
    <cfRule type="cellIs" dxfId="3817" priority="5992" operator="equal">
      <formula>"Kweken"</formula>
    </cfRule>
    <cfRule type="cellIs" dxfId="3816" priority="5993" operator="equal">
      <formula>"Partnerbijdrage"</formula>
    </cfRule>
    <cfRule type="cellIs" dxfId="3815" priority="5994" operator="equal">
      <formula>"TV-pagina"</formula>
    </cfRule>
    <cfRule type="cellIs" dxfId="3814" priority="5995" operator="equal">
      <formula>"Tuinklussen"</formula>
    </cfRule>
    <cfRule type="cellIs" dxfId="3813" priority="5996" operator="equal">
      <formula>"Inspiratie"</formula>
    </cfRule>
  </conditionalFormatting>
  <conditionalFormatting sqref="R4">
    <cfRule type="cellIs" dxfId="3812" priority="5145" operator="equal">
      <formula>"Moestuin"</formula>
    </cfRule>
    <cfRule type="cellIs" dxfId="3811" priority="5146" operator="equal">
      <formula>"Hub"</formula>
    </cfRule>
    <cfRule type="cellIs" dxfId="3810" priority="5147" operator="equal">
      <formula>"Snoeien"</formula>
    </cfRule>
    <cfRule type="cellIs" dxfId="3809" priority="5148" operator="equal">
      <formula>"Biodiversiteit"</formula>
    </cfRule>
    <cfRule type="cellIs" dxfId="3808" priority="5149" operator="equal">
      <formula>"Kamerplanten"</formula>
    </cfRule>
    <cfRule type="cellIs" dxfId="3807" priority="5150" operator="equal">
      <formula>"RERUN"</formula>
    </cfRule>
    <cfRule type="cellIs" dxfId="3806" priority="5151" operator="equal">
      <formula>"Kweken"</formula>
    </cfRule>
    <cfRule type="cellIs" dxfId="3805" priority="5152" operator="equal">
      <formula>"Partnerbijdrage"</formula>
    </cfRule>
    <cfRule type="cellIs" dxfId="3804" priority="5153" operator="equal">
      <formula>"TV-pagina"</formula>
    </cfRule>
    <cfRule type="cellIs" dxfId="3803" priority="5154" operator="equal">
      <formula>"Tuinklussen"</formula>
    </cfRule>
    <cfRule type="cellIs" dxfId="3802" priority="5155" operator="equal">
      <formula>"Inspiratie"</formula>
    </cfRule>
  </conditionalFormatting>
  <conditionalFormatting sqref="R5 R11">
    <cfRule type="cellIs" dxfId="3801" priority="8060" operator="equal">
      <formula>"Moestuin"</formula>
    </cfRule>
    <cfRule type="cellIs" dxfId="3800" priority="8061" operator="equal">
      <formula>"Hub"</formula>
    </cfRule>
    <cfRule type="cellIs" dxfId="3799" priority="8062" operator="equal">
      <formula>"Snoeien"</formula>
    </cfRule>
    <cfRule type="cellIs" dxfId="3798" priority="8063" operator="equal">
      <formula>"Biodiversiteit"</formula>
    </cfRule>
    <cfRule type="cellIs" dxfId="3797" priority="8064" operator="equal">
      <formula>"Kamerplanten"</formula>
    </cfRule>
    <cfRule type="cellIs" dxfId="3796" priority="8065" operator="equal">
      <formula>"RERUN"</formula>
    </cfRule>
    <cfRule type="cellIs" dxfId="3795" priority="8066" operator="equal">
      <formula>"Kweken"</formula>
    </cfRule>
    <cfRule type="cellIs" dxfId="3794" priority="8067" operator="equal">
      <formula>"Partnerbijdrage"</formula>
    </cfRule>
    <cfRule type="cellIs" dxfId="3793" priority="8068" operator="equal">
      <formula>"TV-pagina"</formula>
    </cfRule>
    <cfRule type="cellIs" dxfId="3792" priority="8069" operator="equal">
      <formula>"Tuinklussen"</formula>
    </cfRule>
    <cfRule type="cellIs" dxfId="3791" priority="8070" operator="equal">
      <formula>"Inspiratie"</formula>
    </cfRule>
  </conditionalFormatting>
  <conditionalFormatting sqref="R5 T5 R14:R15 T14:T15">
    <cfRule type="cellIs" dxfId="3790" priority="7631" operator="equal">
      <formula>"_"</formula>
    </cfRule>
  </conditionalFormatting>
  <conditionalFormatting sqref="R6">
    <cfRule type="cellIs" dxfId="3789" priority="3569" operator="equal">
      <formula>"Moestuin"</formula>
    </cfRule>
    <cfRule type="cellIs" dxfId="3788" priority="3570" operator="equal">
      <formula>"Hub"</formula>
    </cfRule>
    <cfRule type="cellIs" dxfId="3787" priority="3571" operator="equal">
      <formula>"Snoeien"</formula>
    </cfRule>
    <cfRule type="cellIs" dxfId="3786" priority="3572" operator="equal">
      <formula>"Biodiversiteit"</formula>
    </cfRule>
    <cfRule type="cellIs" dxfId="3785" priority="3573" operator="equal">
      <formula>"Kamerplanten"</formula>
    </cfRule>
    <cfRule type="cellIs" dxfId="3784" priority="3574" operator="equal">
      <formula>"RERUN"</formula>
    </cfRule>
    <cfRule type="cellIs" dxfId="3783" priority="3575" operator="equal">
      <formula>"Kweken"</formula>
    </cfRule>
    <cfRule type="cellIs" dxfId="3782" priority="3576" operator="equal">
      <formula>"Partnerbijdrage"</formula>
    </cfRule>
    <cfRule type="cellIs" dxfId="3781" priority="3577" operator="equal">
      <formula>"TV-pagina"</formula>
    </cfRule>
    <cfRule type="cellIs" dxfId="3780" priority="3578" operator="equal">
      <formula>"Tuinklussen"</formula>
    </cfRule>
    <cfRule type="cellIs" dxfId="3779" priority="3579" operator="equal">
      <formula>"Inspiratie"</formula>
    </cfRule>
  </conditionalFormatting>
  <conditionalFormatting sqref="R7:R10">
    <cfRule type="containsText" dxfId="3778" priority="4478" operator="containsText" text="[adv]">
      <formula>NOT(ISERROR(SEARCH("[adv]",R7)))</formula>
    </cfRule>
    <cfRule type="containsText" dxfId="3777" priority="4479" operator="containsText" text="[pluk]">
      <formula>NOT(ISERROR(SEARCH("[pluk]",R7)))</formula>
    </cfRule>
    <cfRule type="cellIs" dxfId="3776" priority="4480" operator="equal">
      <formula>"_"</formula>
    </cfRule>
    <cfRule type="cellIs" dxfId="3775" priority="4481" operator="equal">
      <formula>"Moestuin"</formula>
    </cfRule>
    <cfRule type="cellIs" dxfId="3774" priority="4482" operator="equal">
      <formula>"Hub"</formula>
    </cfRule>
    <cfRule type="cellIs" dxfId="3773" priority="4483" operator="equal">
      <formula>"Snoeien"</formula>
    </cfRule>
    <cfRule type="cellIs" dxfId="3772" priority="4484" operator="equal">
      <formula>"Biodiversiteit"</formula>
    </cfRule>
    <cfRule type="cellIs" dxfId="3771" priority="4485" operator="equal">
      <formula>"Kamerplanten"</formula>
    </cfRule>
    <cfRule type="cellIs" dxfId="3770" priority="4486" operator="equal">
      <formula>"RERUN"</formula>
    </cfRule>
    <cfRule type="cellIs" dxfId="3769" priority="4487" operator="equal">
      <formula>"Kweken"</formula>
    </cfRule>
    <cfRule type="cellIs" dxfId="3768" priority="4488" operator="equal">
      <formula>"Partnerbijdrage"</formula>
    </cfRule>
    <cfRule type="cellIs" dxfId="3767" priority="4489" operator="equal">
      <formula>"TV-pagina"</formula>
    </cfRule>
    <cfRule type="cellIs" dxfId="3766" priority="4490" operator="equal">
      <formula>"Tuinklussen"</formula>
    </cfRule>
    <cfRule type="cellIs" dxfId="3765" priority="4491" operator="equal">
      <formula>"Inspiratie"</formula>
    </cfRule>
  </conditionalFormatting>
  <conditionalFormatting sqref="R16:R17">
    <cfRule type="containsText" dxfId="3764" priority="3469" operator="containsText" text="[adv]">
      <formula>NOT(ISERROR(SEARCH("[adv]",R16)))</formula>
    </cfRule>
    <cfRule type="containsText" dxfId="3763" priority="3470" operator="containsText" text="[pluk]">
      <formula>NOT(ISERROR(SEARCH("[pluk]",R16)))</formula>
    </cfRule>
    <cfRule type="cellIs" dxfId="3762" priority="3471" operator="equal">
      <formula>"_"</formula>
    </cfRule>
    <cfRule type="cellIs" dxfId="3761" priority="3472" operator="equal">
      <formula>"Moestuin"</formula>
    </cfRule>
    <cfRule type="cellIs" dxfId="3760" priority="3473" operator="equal">
      <formula>"Hub"</formula>
    </cfRule>
    <cfRule type="cellIs" dxfId="3759" priority="3474" operator="equal">
      <formula>"Snoeien"</formula>
    </cfRule>
    <cfRule type="cellIs" dxfId="3758" priority="3475" operator="equal">
      <formula>"Biodiversiteit"</formula>
    </cfRule>
    <cfRule type="cellIs" dxfId="3757" priority="3476" operator="equal">
      <formula>"Kamerplanten"</formula>
    </cfRule>
    <cfRule type="cellIs" dxfId="3756" priority="3477" operator="equal">
      <formula>"RERUN"</formula>
    </cfRule>
    <cfRule type="cellIs" dxfId="3755" priority="3478" operator="equal">
      <formula>"Kweken"</formula>
    </cfRule>
    <cfRule type="cellIs" dxfId="3754" priority="3479" operator="equal">
      <formula>"Partnerbijdrage"</formula>
    </cfRule>
    <cfRule type="cellIs" dxfId="3753" priority="3480" operator="equal">
      <formula>"TV-pagina"</formula>
    </cfRule>
    <cfRule type="cellIs" dxfId="3752" priority="3481" operator="equal">
      <formula>"Tuinklussen"</formula>
    </cfRule>
    <cfRule type="cellIs" dxfId="3751" priority="3482" operator="equal">
      <formula>"Inspiratie"</formula>
    </cfRule>
  </conditionalFormatting>
  <conditionalFormatting sqref="R18">
    <cfRule type="containsText" dxfId="3750" priority="3508" operator="containsText" text="[adv]">
      <formula>NOT(ISERROR(SEARCH("[adv]",R18)))</formula>
    </cfRule>
    <cfRule type="containsText" dxfId="3749" priority="3509" operator="containsText" text="[pluk]">
      <formula>NOT(ISERROR(SEARCH("[pluk]",R18)))</formula>
    </cfRule>
    <cfRule type="cellIs" dxfId="3748" priority="3510" operator="equal">
      <formula>"_"</formula>
    </cfRule>
    <cfRule type="cellIs" dxfId="3747" priority="3511" operator="equal">
      <formula>"Moestuin"</formula>
    </cfRule>
    <cfRule type="cellIs" dxfId="3746" priority="3512" operator="equal">
      <formula>"Hub"</formula>
    </cfRule>
    <cfRule type="cellIs" dxfId="3745" priority="3513" operator="equal">
      <formula>"Snoeien"</formula>
    </cfRule>
    <cfRule type="cellIs" dxfId="3744" priority="3514" operator="equal">
      <formula>"Biodiversiteit"</formula>
    </cfRule>
    <cfRule type="cellIs" dxfId="3743" priority="3515" operator="equal">
      <formula>"Kamerplanten"</formula>
    </cfRule>
    <cfRule type="cellIs" dxfId="3742" priority="3516" operator="equal">
      <formula>"RERUN"</formula>
    </cfRule>
    <cfRule type="cellIs" dxfId="3741" priority="3517" operator="equal">
      <formula>"Kweken"</formula>
    </cfRule>
    <cfRule type="cellIs" dxfId="3740" priority="3518" operator="equal">
      <formula>"Partnerbijdrage"</formula>
    </cfRule>
    <cfRule type="cellIs" dxfId="3739" priority="3519" operator="equal">
      <formula>"TV-pagina"</formula>
    </cfRule>
    <cfRule type="cellIs" dxfId="3738" priority="3520" operator="equal">
      <formula>"Tuinklussen"</formula>
    </cfRule>
    <cfRule type="cellIs" dxfId="3737" priority="3521" operator="equal">
      <formula>"Inspiratie"</formula>
    </cfRule>
  </conditionalFormatting>
  <conditionalFormatting sqref="R20">
    <cfRule type="containsText" dxfId="3736" priority="3488" operator="containsText" text="[adv]">
      <formula>NOT(ISERROR(SEARCH("[adv]",R20)))</formula>
    </cfRule>
    <cfRule type="containsText" dxfId="3735" priority="3489" operator="containsText" text="[pluk]">
      <formula>NOT(ISERROR(SEARCH("[pluk]",R20)))</formula>
    </cfRule>
    <cfRule type="cellIs" dxfId="3734" priority="3490" operator="equal">
      <formula>"_"</formula>
    </cfRule>
    <cfRule type="cellIs" dxfId="3733" priority="3491" operator="equal">
      <formula>"Moestuin"</formula>
    </cfRule>
    <cfRule type="cellIs" dxfId="3732" priority="3492" operator="equal">
      <formula>"Hub"</formula>
    </cfRule>
    <cfRule type="cellIs" dxfId="3731" priority="3493" operator="equal">
      <formula>"Snoeien"</formula>
    </cfRule>
    <cfRule type="cellIs" dxfId="3730" priority="3494" operator="equal">
      <formula>"Biodiversiteit"</formula>
    </cfRule>
    <cfRule type="cellIs" dxfId="3729" priority="3495" operator="equal">
      <formula>"Kamerplanten"</formula>
    </cfRule>
    <cfRule type="cellIs" dxfId="3728" priority="3496" operator="equal">
      <formula>"RERUN"</formula>
    </cfRule>
    <cfRule type="cellIs" dxfId="3727" priority="3497" operator="equal">
      <formula>"Kweken"</formula>
    </cfRule>
    <cfRule type="cellIs" dxfId="3726" priority="3498" operator="equal">
      <formula>"Partnerbijdrage"</formula>
    </cfRule>
    <cfRule type="cellIs" dxfId="3725" priority="3499" operator="equal">
      <formula>"TV-pagina"</formula>
    </cfRule>
    <cfRule type="cellIs" dxfId="3724" priority="3500" operator="equal">
      <formula>"Tuinklussen"</formula>
    </cfRule>
    <cfRule type="cellIs" dxfId="3723" priority="3501" operator="equal">
      <formula>"Inspiratie"</formula>
    </cfRule>
  </conditionalFormatting>
  <conditionalFormatting sqref="R21 R26 R23:R24">
    <cfRule type="containsText" dxfId="3722" priority="4254" operator="containsText" text="[adv]">
      <formula>NOT(ISERROR(SEARCH("[adv]",R21)))</formula>
    </cfRule>
    <cfRule type="containsText" dxfId="3721" priority="4255" operator="containsText" text="[pluk]">
      <formula>NOT(ISERROR(SEARCH("[pluk]",R21)))</formula>
    </cfRule>
    <cfRule type="cellIs" dxfId="3720" priority="4256" operator="equal">
      <formula>"_"</formula>
    </cfRule>
    <cfRule type="cellIs" dxfId="3719" priority="4257" operator="equal">
      <formula>"Moestuin"</formula>
    </cfRule>
    <cfRule type="cellIs" dxfId="3718" priority="4258" operator="equal">
      <formula>"Hub"</formula>
    </cfRule>
    <cfRule type="cellIs" dxfId="3717" priority="4259" operator="equal">
      <formula>"Snoeien"</formula>
    </cfRule>
    <cfRule type="cellIs" dxfId="3716" priority="4260" operator="equal">
      <formula>"Biodiversiteit"</formula>
    </cfRule>
    <cfRule type="cellIs" dxfId="3715" priority="4261" operator="equal">
      <formula>"Kamerplanten"</formula>
    </cfRule>
    <cfRule type="cellIs" dxfId="3714" priority="4262" operator="equal">
      <formula>"RERUN"</formula>
    </cfRule>
    <cfRule type="cellIs" dxfId="3713" priority="4263" operator="equal">
      <formula>"Kweken"</formula>
    </cfRule>
    <cfRule type="cellIs" dxfId="3712" priority="4264" operator="equal">
      <formula>"Partnerbijdrage"</formula>
    </cfRule>
    <cfRule type="cellIs" dxfId="3711" priority="4265" operator="equal">
      <formula>"TV-pagina"</formula>
    </cfRule>
    <cfRule type="cellIs" dxfId="3710" priority="4266" operator="equal">
      <formula>"Tuinklussen"</formula>
    </cfRule>
    <cfRule type="cellIs" dxfId="3709" priority="4267" operator="equal">
      <formula>"Inspiratie"</formula>
    </cfRule>
  </conditionalFormatting>
  <conditionalFormatting sqref="R22 T22">
    <cfRule type="containsText" dxfId="3708" priority="3134" operator="containsText" text="[pluk]">
      <formula>NOT(ISERROR(SEARCH("[pluk]",R22)))</formula>
    </cfRule>
    <cfRule type="cellIs" dxfId="3707" priority="3135" operator="equal">
      <formula>"_"</formula>
    </cfRule>
  </conditionalFormatting>
  <conditionalFormatting sqref="R22">
    <cfRule type="cellIs" dxfId="3706" priority="3136" operator="equal">
      <formula>"Moestuin"</formula>
    </cfRule>
    <cfRule type="cellIs" dxfId="3705" priority="3137" operator="equal">
      <formula>"Hub"</formula>
    </cfRule>
    <cfRule type="cellIs" dxfId="3704" priority="3138" operator="equal">
      <formula>"Snoeien"</formula>
    </cfRule>
    <cfRule type="cellIs" dxfId="3703" priority="3139" operator="equal">
      <formula>"Biodiversiteit"</formula>
    </cfRule>
    <cfRule type="cellIs" dxfId="3702" priority="3140" operator="equal">
      <formula>"Kamerplanten"</formula>
    </cfRule>
    <cfRule type="cellIs" dxfId="3701" priority="3141" operator="equal">
      <formula>"RERUN"</formula>
    </cfRule>
    <cfRule type="cellIs" dxfId="3700" priority="3142" operator="equal">
      <formula>"Kweken"</formula>
    </cfRule>
    <cfRule type="cellIs" dxfId="3699" priority="3143" operator="equal">
      <formula>"Partnerbijdrage"</formula>
    </cfRule>
    <cfRule type="cellIs" dxfId="3698" priority="3144" operator="equal">
      <formula>"TV-pagina"</formula>
    </cfRule>
    <cfRule type="cellIs" dxfId="3697" priority="3145" operator="equal">
      <formula>"Tuinklussen"</formula>
    </cfRule>
    <cfRule type="cellIs" dxfId="3696" priority="3146" operator="equal">
      <formula>"Inspiratie"</formula>
    </cfRule>
  </conditionalFormatting>
  <conditionalFormatting sqref="R25">
    <cfRule type="containsText" dxfId="3695" priority="3095" operator="containsText" text="[adv]">
      <formula>NOT(ISERROR(SEARCH("[adv]",R25)))</formula>
    </cfRule>
    <cfRule type="containsText" dxfId="3694" priority="3096" operator="containsText" text="[pluk]">
      <formula>NOT(ISERROR(SEARCH("[pluk]",R25)))</formula>
    </cfRule>
    <cfRule type="cellIs" dxfId="3693" priority="3097" operator="equal">
      <formula>"_"</formula>
    </cfRule>
    <cfRule type="cellIs" dxfId="3692" priority="3098" operator="equal">
      <formula>"Moestuin"</formula>
    </cfRule>
    <cfRule type="cellIs" dxfId="3691" priority="3099" operator="equal">
      <formula>"Hub"</formula>
    </cfRule>
    <cfRule type="cellIs" dxfId="3690" priority="3100" operator="equal">
      <formula>"Snoeien"</formula>
    </cfRule>
    <cfRule type="cellIs" dxfId="3689" priority="3101" operator="equal">
      <formula>"Biodiversiteit"</formula>
    </cfRule>
    <cfRule type="cellIs" dxfId="3688" priority="3102" operator="equal">
      <formula>"Kamerplanten"</formula>
    </cfRule>
    <cfRule type="cellIs" dxfId="3687" priority="3103" operator="equal">
      <formula>"RERUN"</formula>
    </cfRule>
    <cfRule type="cellIs" dxfId="3686" priority="3104" operator="equal">
      <formula>"Kweken"</formula>
    </cfRule>
    <cfRule type="cellIs" dxfId="3685" priority="3105" operator="equal">
      <formula>"Partnerbijdrage"</formula>
    </cfRule>
    <cfRule type="cellIs" dxfId="3684" priority="3106" operator="equal">
      <formula>"TV-pagina"</formula>
    </cfRule>
    <cfRule type="cellIs" dxfId="3683" priority="3107" operator="equal">
      <formula>"Tuinklussen"</formula>
    </cfRule>
    <cfRule type="cellIs" dxfId="3682" priority="3108" operator="equal">
      <formula>"Inspiratie"</formula>
    </cfRule>
  </conditionalFormatting>
  <conditionalFormatting sqref="R28 T28">
    <cfRule type="containsText" dxfId="3681" priority="2812" operator="containsText" text="[pluk]">
      <formula>NOT(ISERROR(SEARCH("[pluk]",R28)))</formula>
    </cfRule>
    <cfRule type="cellIs" dxfId="3680" priority="2813" operator="equal">
      <formula>"_"</formula>
    </cfRule>
  </conditionalFormatting>
  <conditionalFormatting sqref="R29">
    <cfRule type="containsText" dxfId="3679" priority="2790" operator="containsText" text="[adv]">
      <formula>NOT(ISERROR(SEARCH("[adv]",R29)))</formula>
    </cfRule>
    <cfRule type="containsText" dxfId="3678" priority="2791" operator="containsText" text="[pluk]">
      <formula>NOT(ISERROR(SEARCH("[pluk]",R29)))</formula>
    </cfRule>
    <cfRule type="cellIs" dxfId="3677" priority="2792" operator="equal">
      <formula>"_"</formula>
    </cfRule>
    <cfRule type="cellIs" dxfId="3676" priority="2793" operator="equal">
      <formula>"Moestuin"</formula>
    </cfRule>
    <cfRule type="cellIs" dxfId="3675" priority="2794" operator="equal">
      <formula>"Hub"</formula>
    </cfRule>
    <cfRule type="cellIs" dxfId="3674" priority="2795" operator="equal">
      <formula>"Snoeien"</formula>
    </cfRule>
    <cfRule type="cellIs" dxfId="3673" priority="2796" operator="equal">
      <formula>"Biodiversiteit"</formula>
    </cfRule>
    <cfRule type="cellIs" dxfId="3672" priority="2797" operator="equal">
      <formula>"Kamerplanten"</formula>
    </cfRule>
    <cfRule type="cellIs" dxfId="3671" priority="2798" operator="equal">
      <formula>"RERUN"</formula>
    </cfRule>
    <cfRule type="cellIs" dxfId="3670" priority="2799" operator="equal">
      <formula>"Kweken"</formula>
    </cfRule>
    <cfRule type="cellIs" dxfId="3669" priority="2800" operator="equal">
      <formula>"Partnerbijdrage"</formula>
    </cfRule>
    <cfRule type="cellIs" dxfId="3668" priority="2801" operator="equal">
      <formula>"TV-pagina"</formula>
    </cfRule>
    <cfRule type="cellIs" dxfId="3667" priority="2802" operator="equal">
      <formula>"Tuinklussen"</formula>
    </cfRule>
    <cfRule type="cellIs" dxfId="3666" priority="2803" operator="equal">
      <formula>"Inspiratie"</formula>
    </cfRule>
  </conditionalFormatting>
  <conditionalFormatting sqref="R30 T30">
    <cfRule type="containsText" dxfId="3665" priority="1543" operator="containsText" text="[pluk]">
      <formula>NOT(ISERROR(SEARCH("[pluk]",R30)))</formula>
    </cfRule>
    <cfRule type="cellIs" dxfId="3664" priority="1544" operator="equal">
      <formula>"_"</formula>
    </cfRule>
  </conditionalFormatting>
  <conditionalFormatting sqref="R30">
    <cfRule type="cellIs" dxfId="3663" priority="1545" operator="equal">
      <formula>"Moestuin"</formula>
    </cfRule>
    <cfRule type="cellIs" dxfId="3662" priority="1546" operator="equal">
      <formula>"Hub"</formula>
    </cfRule>
    <cfRule type="cellIs" dxfId="3661" priority="1547" operator="equal">
      <formula>"Snoeien"</formula>
    </cfRule>
    <cfRule type="cellIs" dxfId="3660" priority="1548" operator="equal">
      <formula>"Biodiversiteit"</formula>
    </cfRule>
    <cfRule type="cellIs" dxfId="3659" priority="1549" operator="equal">
      <formula>"Kamerplanten"</formula>
    </cfRule>
    <cfRule type="cellIs" dxfId="3658" priority="1550" operator="equal">
      <formula>"RERUN"</formula>
    </cfRule>
    <cfRule type="cellIs" dxfId="3657" priority="1551" operator="equal">
      <formula>"Kweken"</formula>
    </cfRule>
    <cfRule type="cellIs" dxfId="3656" priority="1552" operator="equal">
      <formula>"Partnerbijdrage"</formula>
    </cfRule>
    <cfRule type="cellIs" dxfId="3655" priority="1553" operator="equal">
      <formula>"TV-pagina"</formula>
    </cfRule>
    <cfRule type="cellIs" dxfId="3654" priority="1554" operator="equal">
      <formula>"Tuinklussen"</formula>
    </cfRule>
    <cfRule type="cellIs" dxfId="3653" priority="1555" operator="equal">
      <formula>"Inspiratie"</formula>
    </cfRule>
  </conditionalFormatting>
  <conditionalFormatting sqref="R31">
    <cfRule type="containsText" dxfId="3652" priority="1492" operator="containsText" text="[adv]">
      <formula>NOT(ISERROR(SEARCH("[adv]",R31)))</formula>
    </cfRule>
    <cfRule type="containsText" dxfId="3651" priority="1493" operator="containsText" text="[pluk]">
      <formula>NOT(ISERROR(SEARCH("[pluk]",R31)))</formula>
    </cfRule>
    <cfRule type="cellIs" dxfId="3650" priority="1494" operator="equal">
      <formula>"_"</formula>
    </cfRule>
    <cfRule type="cellIs" dxfId="3649" priority="1495" operator="equal">
      <formula>"Moestuin"</formula>
    </cfRule>
    <cfRule type="cellIs" dxfId="3648" priority="1496" operator="equal">
      <formula>"Hub"</formula>
    </cfRule>
    <cfRule type="cellIs" dxfId="3647" priority="1497" operator="equal">
      <formula>"Snoeien"</formula>
    </cfRule>
    <cfRule type="cellIs" dxfId="3646" priority="1498" operator="equal">
      <formula>"Biodiversiteit"</formula>
    </cfRule>
    <cfRule type="cellIs" dxfId="3645" priority="1499" operator="equal">
      <formula>"Kamerplanten"</formula>
    </cfRule>
    <cfRule type="cellIs" dxfId="3644" priority="1500" operator="equal">
      <formula>"RERUN"</formula>
    </cfRule>
    <cfRule type="cellIs" dxfId="3643" priority="1501" operator="equal">
      <formula>"Kweken"</formula>
    </cfRule>
    <cfRule type="cellIs" dxfId="3642" priority="1502" operator="equal">
      <formula>"Partnerbijdrage"</formula>
    </cfRule>
    <cfRule type="cellIs" dxfId="3641" priority="1503" operator="equal">
      <formula>"TV-pagina"</formula>
    </cfRule>
    <cfRule type="cellIs" dxfId="3640" priority="1504" operator="equal">
      <formula>"Tuinklussen"</formula>
    </cfRule>
    <cfRule type="cellIs" dxfId="3639" priority="1505" operator="equal">
      <formula>"Inspiratie"</formula>
    </cfRule>
  </conditionalFormatting>
  <conditionalFormatting sqref="R32:R34">
    <cfRule type="containsText" dxfId="3638" priority="4268" operator="containsText" text="[adv]">
      <formula>NOT(ISERROR(SEARCH("[adv]",R32)))</formula>
    </cfRule>
    <cfRule type="containsText" dxfId="3637" priority="4269" operator="containsText" text="[pluk]">
      <formula>NOT(ISERROR(SEARCH("[pluk]",R32)))</formula>
    </cfRule>
    <cfRule type="cellIs" dxfId="3636" priority="4270" operator="equal">
      <formula>"_"</formula>
    </cfRule>
    <cfRule type="cellIs" dxfId="3635" priority="4271" operator="equal">
      <formula>"Moestuin"</formula>
    </cfRule>
    <cfRule type="cellIs" dxfId="3634" priority="4272" operator="equal">
      <formula>"Hub"</formula>
    </cfRule>
    <cfRule type="cellIs" dxfId="3633" priority="4273" operator="equal">
      <formula>"Snoeien"</formula>
    </cfRule>
    <cfRule type="cellIs" dxfId="3632" priority="4274" operator="equal">
      <formula>"Biodiversiteit"</formula>
    </cfRule>
    <cfRule type="cellIs" dxfId="3631" priority="4275" operator="equal">
      <formula>"Kamerplanten"</formula>
    </cfRule>
    <cfRule type="cellIs" dxfId="3630" priority="4276" operator="equal">
      <formula>"RERUN"</formula>
    </cfRule>
    <cfRule type="cellIs" dxfId="3629" priority="4277" operator="equal">
      <formula>"Kweken"</formula>
    </cfRule>
    <cfRule type="cellIs" dxfId="3628" priority="4278" operator="equal">
      <formula>"Partnerbijdrage"</formula>
    </cfRule>
    <cfRule type="cellIs" dxfId="3627" priority="4279" operator="equal">
      <formula>"TV-pagina"</formula>
    </cfRule>
    <cfRule type="cellIs" dxfId="3626" priority="4280" operator="equal">
      <formula>"Tuinklussen"</formula>
    </cfRule>
    <cfRule type="cellIs" dxfId="3625" priority="4281" operator="equal">
      <formula>"Inspiratie"</formula>
    </cfRule>
  </conditionalFormatting>
  <conditionalFormatting sqref="R36:R42">
    <cfRule type="containsText" dxfId="3624" priority="4282" operator="containsText" text="[adv]">
      <formula>NOT(ISERROR(SEARCH("[adv]",R36)))</formula>
    </cfRule>
    <cfRule type="containsText" dxfId="3623" priority="4283" operator="containsText" text="[pluk]">
      <formula>NOT(ISERROR(SEARCH("[pluk]",R36)))</formula>
    </cfRule>
    <cfRule type="cellIs" dxfId="3622" priority="4284" operator="equal">
      <formula>"_"</formula>
    </cfRule>
    <cfRule type="cellIs" dxfId="3621" priority="4285" operator="equal">
      <formula>"Moestuin"</formula>
    </cfRule>
    <cfRule type="cellIs" dxfId="3620" priority="4286" operator="equal">
      <formula>"Hub"</formula>
    </cfRule>
    <cfRule type="cellIs" dxfId="3619" priority="4287" operator="equal">
      <formula>"Snoeien"</formula>
    </cfRule>
    <cfRule type="cellIs" dxfId="3618" priority="4288" operator="equal">
      <formula>"Biodiversiteit"</formula>
    </cfRule>
    <cfRule type="cellIs" dxfId="3617" priority="4289" operator="equal">
      <formula>"Kamerplanten"</formula>
    </cfRule>
    <cfRule type="cellIs" dxfId="3616" priority="4290" operator="equal">
      <formula>"RERUN"</formula>
    </cfRule>
    <cfRule type="cellIs" dxfId="3615" priority="4291" operator="equal">
      <formula>"Kweken"</formula>
    </cfRule>
    <cfRule type="cellIs" dxfId="3614" priority="4292" operator="equal">
      <formula>"Partnerbijdrage"</formula>
    </cfRule>
    <cfRule type="cellIs" dxfId="3613" priority="4293" operator="equal">
      <formula>"TV-pagina"</formula>
    </cfRule>
    <cfRule type="cellIs" dxfId="3612" priority="4294" operator="equal">
      <formula>"Tuinklussen"</formula>
    </cfRule>
    <cfRule type="cellIs" dxfId="3611" priority="4295" operator="equal">
      <formula>"Inspiratie"</formula>
    </cfRule>
  </conditionalFormatting>
  <conditionalFormatting sqref="R44">
    <cfRule type="containsText" dxfId="3610" priority="1297" operator="containsText" text="[adv]">
      <formula>NOT(ISERROR(SEARCH("[adv]",R44)))</formula>
    </cfRule>
    <cfRule type="containsText" dxfId="3609" priority="1298" operator="containsText" text="[pluk]">
      <formula>NOT(ISERROR(SEARCH("[pluk]",R44)))</formula>
    </cfRule>
    <cfRule type="cellIs" dxfId="3608" priority="1299" operator="equal">
      <formula>"_"</formula>
    </cfRule>
    <cfRule type="cellIs" dxfId="3607" priority="1300" operator="equal">
      <formula>"Moestuin"</formula>
    </cfRule>
    <cfRule type="cellIs" dxfId="3606" priority="1301" operator="equal">
      <formula>"Hub"</formula>
    </cfRule>
    <cfRule type="cellIs" dxfId="3605" priority="1302" operator="equal">
      <formula>"Snoeien"</formula>
    </cfRule>
    <cfRule type="cellIs" dxfId="3604" priority="1303" operator="equal">
      <formula>"Biodiversiteit"</formula>
    </cfRule>
    <cfRule type="cellIs" dxfId="3603" priority="1304" operator="equal">
      <formula>"Kamerplanten"</formula>
    </cfRule>
    <cfRule type="cellIs" dxfId="3602" priority="1305" operator="equal">
      <formula>"RERUN"</formula>
    </cfRule>
    <cfRule type="cellIs" dxfId="3601" priority="1306" operator="equal">
      <formula>"Kweken"</formula>
    </cfRule>
    <cfRule type="cellIs" dxfId="3600" priority="1307" operator="equal">
      <formula>"Partnerbijdrage"</formula>
    </cfRule>
    <cfRule type="cellIs" dxfId="3599" priority="1308" operator="equal">
      <formula>"TV-pagina"</formula>
    </cfRule>
    <cfRule type="cellIs" dxfId="3598" priority="1309" operator="equal">
      <formula>"Tuinklussen"</formula>
    </cfRule>
    <cfRule type="cellIs" dxfId="3597" priority="1310" operator="equal">
      <formula>"Inspiratie"</formula>
    </cfRule>
  </conditionalFormatting>
  <conditionalFormatting sqref="R45">
    <cfRule type="containsText" dxfId="3596" priority="2768" operator="containsText" text="[adv]">
      <formula>NOT(ISERROR(SEARCH("[adv]",R45)))</formula>
    </cfRule>
    <cfRule type="containsText" dxfId="3595" priority="2769" operator="containsText" text="[pluk]">
      <formula>NOT(ISERROR(SEARCH("[pluk]",R45)))</formula>
    </cfRule>
    <cfRule type="cellIs" dxfId="3594" priority="2770" operator="equal">
      <formula>"_"</formula>
    </cfRule>
    <cfRule type="cellIs" dxfId="3593" priority="2771" operator="equal">
      <formula>"Moestuin"</formula>
    </cfRule>
    <cfRule type="cellIs" dxfId="3592" priority="2772" operator="equal">
      <formula>"Hub"</formula>
    </cfRule>
    <cfRule type="cellIs" dxfId="3591" priority="2773" operator="equal">
      <formula>"Snoeien"</formula>
    </cfRule>
    <cfRule type="cellIs" dxfId="3590" priority="2774" operator="equal">
      <formula>"Biodiversiteit"</formula>
    </cfRule>
    <cfRule type="cellIs" dxfId="3589" priority="2775" operator="equal">
      <formula>"Kamerplanten"</formula>
    </cfRule>
    <cfRule type="cellIs" dxfId="3588" priority="2776" operator="equal">
      <formula>"RERUN"</formula>
    </cfRule>
    <cfRule type="cellIs" dxfId="3587" priority="2777" operator="equal">
      <formula>"Kweken"</formula>
    </cfRule>
    <cfRule type="cellIs" dxfId="3586" priority="2778" operator="equal">
      <formula>"Partnerbijdrage"</formula>
    </cfRule>
    <cfRule type="cellIs" dxfId="3585" priority="2779" operator="equal">
      <formula>"TV-pagina"</formula>
    </cfRule>
    <cfRule type="cellIs" dxfId="3584" priority="2780" operator="equal">
      <formula>"Tuinklussen"</formula>
    </cfRule>
    <cfRule type="cellIs" dxfId="3583" priority="2781" operator="equal">
      <formula>"Inspiratie"</formula>
    </cfRule>
  </conditionalFormatting>
  <conditionalFormatting sqref="R46:R47 R49 R57:R58">
    <cfRule type="containsText" dxfId="3582" priority="4296" operator="containsText" text="[adv]">
      <formula>NOT(ISERROR(SEARCH("[adv]",R46)))</formula>
    </cfRule>
    <cfRule type="containsText" dxfId="3581" priority="4297" operator="containsText" text="[pluk]">
      <formula>NOT(ISERROR(SEARCH("[pluk]",R46)))</formula>
    </cfRule>
    <cfRule type="cellIs" dxfId="3580" priority="4298" operator="equal">
      <formula>"_"</formula>
    </cfRule>
    <cfRule type="cellIs" dxfId="3579" priority="4299" operator="equal">
      <formula>"Moestuin"</formula>
    </cfRule>
    <cfRule type="cellIs" dxfId="3578" priority="4300" operator="equal">
      <formula>"Hub"</formula>
    </cfRule>
    <cfRule type="cellIs" dxfId="3577" priority="4301" operator="equal">
      <formula>"Snoeien"</formula>
    </cfRule>
    <cfRule type="cellIs" dxfId="3576" priority="4302" operator="equal">
      <formula>"Biodiversiteit"</formula>
    </cfRule>
    <cfRule type="cellIs" dxfId="3575" priority="4303" operator="equal">
      <formula>"Kamerplanten"</formula>
    </cfRule>
    <cfRule type="cellIs" dxfId="3574" priority="4304" operator="equal">
      <formula>"RERUN"</formula>
    </cfRule>
    <cfRule type="cellIs" dxfId="3573" priority="4305" operator="equal">
      <formula>"Kweken"</formula>
    </cfRule>
    <cfRule type="cellIs" dxfId="3572" priority="4306" operator="equal">
      <formula>"Partnerbijdrage"</formula>
    </cfRule>
    <cfRule type="cellIs" dxfId="3571" priority="4307" operator="equal">
      <formula>"TV-pagina"</formula>
    </cfRule>
    <cfRule type="cellIs" dxfId="3570" priority="4308" operator="equal">
      <formula>"Tuinklussen"</formula>
    </cfRule>
    <cfRule type="cellIs" dxfId="3569" priority="4309" operator="equal">
      <formula>"Inspiratie"</formula>
    </cfRule>
  </conditionalFormatting>
  <conditionalFormatting sqref="R48 T48">
    <cfRule type="containsText" dxfId="3568" priority="1425" operator="containsText" text="[pluk]">
      <formula>NOT(ISERROR(SEARCH("[pluk]",R48)))</formula>
    </cfRule>
    <cfRule type="cellIs" dxfId="3567" priority="1426" operator="equal">
      <formula>"_"</formula>
    </cfRule>
  </conditionalFormatting>
  <conditionalFormatting sqref="R48">
    <cfRule type="cellIs" dxfId="3566" priority="1427" operator="equal">
      <formula>"Moestuin"</formula>
    </cfRule>
    <cfRule type="cellIs" dxfId="3565" priority="1428" operator="equal">
      <formula>"Hub"</formula>
    </cfRule>
    <cfRule type="cellIs" dxfId="3564" priority="1429" operator="equal">
      <formula>"Snoeien"</formula>
    </cfRule>
    <cfRule type="cellIs" dxfId="3563" priority="1430" operator="equal">
      <formula>"Biodiversiteit"</formula>
    </cfRule>
    <cfRule type="cellIs" dxfId="3562" priority="1431" operator="equal">
      <formula>"Kamerplanten"</formula>
    </cfRule>
    <cfRule type="cellIs" dxfId="3561" priority="1432" operator="equal">
      <formula>"RERUN"</formula>
    </cfRule>
    <cfRule type="cellIs" dxfId="3560" priority="1433" operator="equal">
      <formula>"Kweken"</formula>
    </cfRule>
    <cfRule type="cellIs" dxfId="3559" priority="1434" operator="equal">
      <formula>"Partnerbijdrage"</formula>
    </cfRule>
    <cfRule type="cellIs" dxfId="3558" priority="1435" operator="equal">
      <formula>"TV-pagina"</formula>
    </cfRule>
    <cfRule type="cellIs" dxfId="3557" priority="1436" operator="equal">
      <formula>"Tuinklussen"</formula>
    </cfRule>
    <cfRule type="cellIs" dxfId="3556" priority="1437" operator="equal">
      <formula>"Inspiratie"</formula>
    </cfRule>
  </conditionalFormatting>
  <conditionalFormatting sqref="R50">
    <cfRule type="containsText" dxfId="3555" priority="1406" operator="containsText" text="[adv]">
      <formula>NOT(ISERROR(SEARCH("[adv]",R50)))</formula>
    </cfRule>
    <cfRule type="containsText" dxfId="3554" priority="1407" operator="containsText" text="[pluk]">
      <formula>NOT(ISERROR(SEARCH("[pluk]",R50)))</formula>
    </cfRule>
    <cfRule type="cellIs" dxfId="3553" priority="1408" operator="equal">
      <formula>"_"</formula>
    </cfRule>
    <cfRule type="cellIs" dxfId="3552" priority="1409" operator="equal">
      <formula>"Moestuin"</formula>
    </cfRule>
    <cfRule type="cellIs" dxfId="3551" priority="1410" operator="equal">
      <formula>"Hub"</formula>
    </cfRule>
    <cfRule type="cellIs" dxfId="3550" priority="1411" operator="equal">
      <formula>"Snoeien"</formula>
    </cfRule>
    <cfRule type="cellIs" dxfId="3549" priority="1412" operator="equal">
      <formula>"Biodiversiteit"</formula>
    </cfRule>
    <cfRule type="cellIs" dxfId="3548" priority="1413" operator="equal">
      <formula>"Kamerplanten"</formula>
    </cfRule>
    <cfRule type="cellIs" dxfId="3547" priority="1414" operator="equal">
      <formula>"RERUN"</formula>
    </cfRule>
    <cfRule type="cellIs" dxfId="3546" priority="1415" operator="equal">
      <formula>"Kweken"</formula>
    </cfRule>
    <cfRule type="cellIs" dxfId="3545" priority="1416" operator="equal">
      <formula>"Partnerbijdrage"</formula>
    </cfRule>
    <cfRule type="cellIs" dxfId="3544" priority="1417" operator="equal">
      <formula>"TV-pagina"</formula>
    </cfRule>
    <cfRule type="cellIs" dxfId="3543" priority="1418" operator="equal">
      <formula>"Tuinklussen"</formula>
    </cfRule>
    <cfRule type="cellIs" dxfId="3542" priority="1419" operator="equal">
      <formula>"Inspiratie"</formula>
    </cfRule>
  </conditionalFormatting>
  <conditionalFormatting sqref="R54">
    <cfRule type="containsText" dxfId="3541" priority="1440" operator="containsText" text="[adv]">
      <formula>NOT(ISERROR(SEARCH("[adv]",R54)))</formula>
    </cfRule>
    <cfRule type="containsText" dxfId="3540" priority="1441" operator="containsText" text="[pluk]">
      <formula>NOT(ISERROR(SEARCH("[pluk]",R54)))</formula>
    </cfRule>
    <cfRule type="cellIs" dxfId="3539" priority="1442" operator="equal">
      <formula>"_"</formula>
    </cfRule>
    <cfRule type="cellIs" dxfId="3538" priority="1443" operator="equal">
      <formula>"Moestuin"</formula>
    </cfRule>
    <cfRule type="cellIs" dxfId="3537" priority="1444" operator="equal">
      <formula>"Hub"</formula>
    </cfRule>
    <cfRule type="cellIs" dxfId="3536" priority="1445" operator="equal">
      <formula>"Snoeien"</formula>
    </cfRule>
    <cfRule type="cellIs" dxfId="3535" priority="1446" operator="equal">
      <formula>"Biodiversiteit"</formula>
    </cfRule>
    <cfRule type="cellIs" dxfId="3534" priority="1447" operator="equal">
      <formula>"Kamerplanten"</formula>
    </cfRule>
    <cfRule type="cellIs" dxfId="3533" priority="1448" operator="equal">
      <formula>"RERUN"</formula>
    </cfRule>
    <cfRule type="cellIs" dxfId="3532" priority="1449" operator="equal">
      <formula>"Kweken"</formula>
    </cfRule>
    <cfRule type="cellIs" dxfId="3531" priority="1450" operator="equal">
      <formula>"Partnerbijdrage"</formula>
    </cfRule>
    <cfRule type="cellIs" dxfId="3530" priority="1451" operator="equal">
      <formula>"TV-pagina"</formula>
    </cfRule>
    <cfRule type="cellIs" dxfId="3529" priority="1452" operator="equal">
      <formula>"Tuinklussen"</formula>
    </cfRule>
    <cfRule type="cellIs" dxfId="3528" priority="1453" operator="equal">
      <formula>"Inspiratie"</formula>
    </cfRule>
  </conditionalFormatting>
  <conditionalFormatting sqref="R55 R52:R53">
    <cfRule type="containsText" dxfId="3527" priority="1456" operator="containsText" text="[adv]">
      <formula>NOT(ISERROR(SEARCH("[adv]",R52)))</formula>
    </cfRule>
    <cfRule type="containsText" dxfId="3526" priority="1457" operator="containsText" text="[pluk]">
      <formula>NOT(ISERROR(SEARCH("[pluk]",R52)))</formula>
    </cfRule>
    <cfRule type="cellIs" dxfId="3525" priority="1458" operator="equal">
      <formula>"_"</formula>
    </cfRule>
    <cfRule type="cellIs" dxfId="3524" priority="1459" operator="equal">
      <formula>"Moestuin"</formula>
    </cfRule>
    <cfRule type="cellIs" dxfId="3523" priority="1460" operator="equal">
      <formula>"Hub"</formula>
    </cfRule>
    <cfRule type="cellIs" dxfId="3522" priority="1461" operator="equal">
      <formula>"Snoeien"</formula>
    </cfRule>
    <cfRule type="cellIs" dxfId="3521" priority="1462" operator="equal">
      <formula>"Biodiversiteit"</formula>
    </cfRule>
    <cfRule type="cellIs" dxfId="3520" priority="1463" operator="equal">
      <formula>"Kamerplanten"</formula>
    </cfRule>
    <cfRule type="cellIs" dxfId="3519" priority="1464" operator="equal">
      <formula>"RERUN"</formula>
    </cfRule>
    <cfRule type="cellIs" dxfId="3518" priority="1465" operator="equal">
      <formula>"Kweken"</formula>
    </cfRule>
    <cfRule type="cellIs" dxfId="3517" priority="1466" operator="equal">
      <formula>"Partnerbijdrage"</formula>
    </cfRule>
    <cfRule type="cellIs" dxfId="3516" priority="1467" operator="equal">
      <formula>"TV-pagina"</formula>
    </cfRule>
    <cfRule type="cellIs" dxfId="3515" priority="1468" operator="equal">
      <formula>"Tuinklussen"</formula>
    </cfRule>
    <cfRule type="cellIs" dxfId="3514" priority="1469" operator="equal">
      <formula>"Inspiratie"</formula>
    </cfRule>
  </conditionalFormatting>
  <conditionalFormatting sqref="R56">
    <cfRule type="containsText" dxfId="3513" priority="1367" operator="containsText" text="[adv]">
      <formula>NOT(ISERROR(SEARCH("[adv]",R56)))</formula>
    </cfRule>
    <cfRule type="containsText" dxfId="3512" priority="1368" operator="containsText" text="[pluk]">
      <formula>NOT(ISERROR(SEARCH("[pluk]",R56)))</formula>
    </cfRule>
    <cfRule type="cellIs" dxfId="3511" priority="1369" operator="equal">
      <formula>"_"</formula>
    </cfRule>
    <cfRule type="cellIs" dxfId="3510" priority="1370" operator="equal">
      <formula>"Moestuin"</formula>
    </cfRule>
    <cfRule type="cellIs" dxfId="3509" priority="1371" operator="equal">
      <formula>"Hub"</formula>
    </cfRule>
    <cfRule type="cellIs" dxfId="3508" priority="1372" operator="equal">
      <formula>"Snoeien"</formula>
    </cfRule>
    <cfRule type="cellIs" dxfId="3507" priority="1373" operator="equal">
      <formula>"Biodiversiteit"</formula>
    </cfRule>
    <cfRule type="cellIs" dxfId="3506" priority="1374" operator="equal">
      <formula>"Kamerplanten"</formula>
    </cfRule>
    <cfRule type="cellIs" dxfId="3505" priority="1375" operator="equal">
      <formula>"RERUN"</formula>
    </cfRule>
    <cfRule type="cellIs" dxfId="3504" priority="1376" operator="equal">
      <formula>"Kweken"</formula>
    </cfRule>
    <cfRule type="cellIs" dxfId="3503" priority="1377" operator="equal">
      <formula>"Partnerbijdrage"</formula>
    </cfRule>
    <cfRule type="cellIs" dxfId="3502" priority="1378" operator="equal">
      <formula>"TV-pagina"</formula>
    </cfRule>
    <cfRule type="cellIs" dxfId="3501" priority="1379" operator="equal">
      <formula>"Tuinklussen"</formula>
    </cfRule>
    <cfRule type="cellIs" dxfId="3500" priority="1380" operator="equal">
      <formula>"Inspiratie"</formula>
    </cfRule>
  </conditionalFormatting>
  <conditionalFormatting sqref="R57">
    <cfRule type="containsText" dxfId="3499" priority="4310" operator="containsText" text="[adv]">
      <formula>NOT(ISERROR(SEARCH("[adv]",R57)))</formula>
    </cfRule>
    <cfRule type="containsText" dxfId="3498" priority="4311" operator="containsText" text="[pluk]">
      <formula>NOT(ISERROR(SEARCH("[pluk]",R57)))</formula>
    </cfRule>
    <cfRule type="cellIs" dxfId="3497" priority="4312" operator="equal">
      <formula>"_"</formula>
    </cfRule>
    <cfRule type="cellIs" dxfId="3496" priority="4313" operator="equal">
      <formula>"Moestuin"</formula>
    </cfRule>
    <cfRule type="cellIs" dxfId="3495" priority="4314" operator="equal">
      <formula>"Hub"</formula>
    </cfRule>
    <cfRule type="cellIs" dxfId="3494" priority="4315" operator="equal">
      <formula>"Snoeien"</formula>
    </cfRule>
    <cfRule type="cellIs" dxfId="3493" priority="4316" operator="equal">
      <formula>"Biodiversiteit"</formula>
    </cfRule>
    <cfRule type="cellIs" dxfId="3492" priority="4317" operator="equal">
      <formula>"Kamerplanten"</formula>
    </cfRule>
    <cfRule type="cellIs" dxfId="3491" priority="4318" operator="equal">
      <formula>"RERUN"</formula>
    </cfRule>
    <cfRule type="cellIs" dxfId="3490" priority="4319" operator="equal">
      <formula>"Kweken"</formula>
    </cfRule>
    <cfRule type="cellIs" dxfId="3489" priority="4320" operator="equal">
      <formula>"Partnerbijdrage"</formula>
    </cfRule>
    <cfRule type="cellIs" dxfId="3488" priority="4321" operator="equal">
      <formula>"TV-pagina"</formula>
    </cfRule>
    <cfRule type="cellIs" dxfId="3487" priority="4322" operator="equal">
      <formula>"Tuinklussen"</formula>
    </cfRule>
    <cfRule type="cellIs" dxfId="3486" priority="4323" operator="equal">
      <formula>"Inspiratie"</formula>
    </cfRule>
  </conditionalFormatting>
  <conditionalFormatting sqref="R60">
    <cfRule type="containsText" dxfId="3485" priority="1222" operator="containsText" text="[adv]">
      <formula>NOT(ISERROR(SEARCH("[adv]",R60)))</formula>
    </cfRule>
    <cfRule type="containsText" dxfId="3484" priority="1223" operator="containsText" text="[pluk]">
      <formula>NOT(ISERROR(SEARCH("[pluk]",R60)))</formula>
    </cfRule>
    <cfRule type="cellIs" dxfId="3483" priority="1224" operator="equal">
      <formula>"_"</formula>
    </cfRule>
    <cfRule type="cellIs" dxfId="3482" priority="1225" operator="equal">
      <formula>"Moestuin"</formula>
    </cfRule>
    <cfRule type="cellIs" dxfId="3481" priority="1226" operator="equal">
      <formula>"Hub"</formula>
    </cfRule>
    <cfRule type="cellIs" dxfId="3480" priority="1227" operator="equal">
      <formula>"Snoeien"</formula>
    </cfRule>
    <cfRule type="cellIs" dxfId="3479" priority="1228" operator="equal">
      <formula>"Biodiversiteit"</formula>
    </cfRule>
    <cfRule type="cellIs" dxfId="3478" priority="1229" operator="equal">
      <formula>"Kamerplanten"</formula>
    </cfRule>
    <cfRule type="cellIs" dxfId="3477" priority="1230" operator="equal">
      <formula>"RERUN"</formula>
    </cfRule>
    <cfRule type="cellIs" dxfId="3476" priority="1231" operator="equal">
      <formula>"Kweken"</formula>
    </cfRule>
    <cfRule type="cellIs" dxfId="3475" priority="1232" operator="equal">
      <formula>"Partnerbijdrage"</formula>
    </cfRule>
    <cfRule type="cellIs" dxfId="3474" priority="1233" operator="equal">
      <formula>"TV-pagina"</formula>
    </cfRule>
    <cfRule type="cellIs" dxfId="3473" priority="1234" operator="equal">
      <formula>"Tuinklussen"</formula>
    </cfRule>
    <cfRule type="cellIs" dxfId="3472" priority="1235" operator="equal">
      <formula>"Inspiratie"</formula>
    </cfRule>
  </conditionalFormatting>
  <conditionalFormatting sqref="R61">
    <cfRule type="containsText" dxfId="3471" priority="1238" operator="containsText" text="[adv]">
      <formula>NOT(ISERROR(SEARCH("[adv]",R61)))</formula>
    </cfRule>
    <cfRule type="containsText" dxfId="3470" priority="1239" operator="containsText" text="[pluk]">
      <formula>NOT(ISERROR(SEARCH("[pluk]",R61)))</formula>
    </cfRule>
    <cfRule type="cellIs" dxfId="3469" priority="1240" operator="equal">
      <formula>"_"</formula>
    </cfRule>
    <cfRule type="cellIs" dxfId="3468" priority="1241" operator="equal">
      <formula>"Moestuin"</formula>
    </cfRule>
    <cfRule type="cellIs" dxfId="3467" priority="1242" operator="equal">
      <formula>"Hub"</formula>
    </cfRule>
    <cfRule type="cellIs" dxfId="3466" priority="1243" operator="equal">
      <formula>"Snoeien"</formula>
    </cfRule>
    <cfRule type="cellIs" dxfId="3465" priority="1244" operator="equal">
      <formula>"Biodiversiteit"</formula>
    </cfRule>
    <cfRule type="cellIs" dxfId="3464" priority="1245" operator="equal">
      <formula>"Kamerplanten"</formula>
    </cfRule>
    <cfRule type="cellIs" dxfId="3463" priority="1246" operator="equal">
      <formula>"RERUN"</formula>
    </cfRule>
    <cfRule type="cellIs" dxfId="3462" priority="1247" operator="equal">
      <formula>"Kweken"</formula>
    </cfRule>
    <cfRule type="cellIs" dxfId="3461" priority="1248" operator="equal">
      <formula>"Partnerbijdrage"</formula>
    </cfRule>
    <cfRule type="cellIs" dxfId="3460" priority="1249" operator="equal">
      <formula>"TV-pagina"</formula>
    </cfRule>
    <cfRule type="cellIs" dxfId="3459" priority="1250" operator="equal">
      <formula>"Tuinklussen"</formula>
    </cfRule>
    <cfRule type="cellIs" dxfId="3458" priority="1251" operator="equal">
      <formula>"Inspiratie"</formula>
    </cfRule>
  </conditionalFormatting>
  <conditionalFormatting sqref="R62">
    <cfRule type="containsText" dxfId="3457" priority="1118" operator="containsText" text="[adv]">
      <formula>NOT(ISERROR(SEARCH("[adv]",R62)))</formula>
    </cfRule>
    <cfRule type="containsText" dxfId="3456" priority="1119" operator="containsText" text="[pluk]">
      <formula>NOT(ISERROR(SEARCH("[pluk]",R62)))</formula>
    </cfRule>
    <cfRule type="cellIs" dxfId="3455" priority="1120" operator="equal">
      <formula>"_"</formula>
    </cfRule>
    <cfRule type="cellIs" dxfId="3454" priority="1121" operator="equal">
      <formula>"Moestuin"</formula>
    </cfRule>
    <cfRule type="cellIs" dxfId="3453" priority="1122" operator="equal">
      <formula>"Hub"</formula>
    </cfRule>
    <cfRule type="cellIs" dxfId="3452" priority="1123" operator="equal">
      <formula>"Snoeien"</formula>
    </cfRule>
    <cfRule type="cellIs" dxfId="3451" priority="1124" operator="equal">
      <formula>"Biodiversiteit"</formula>
    </cfRule>
    <cfRule type="cellIs" dxfId="3450" priority="1125" operator="equal">
      <formula>"Kamerplanten"</formula>
    </cfRule>
    <cfRule type="cellIs" dxfId="3449" priority="1126" operator="equal">
      <formula>"RERUN"</formula>
    </cfRule>
    <cfRule type="cellIs" dxfId="3448" priority="1127" operator="equal">
      <formula>"Kweken"</formula>
    </cfRule>
    <cfRule type="cellIs" dxfId="3447" priority="1128" operator="equal">
      <formula>"Partnerbijdrage"</formula>
    </cfRule>
    <cfRule type="cellIs" dxfId="3446" priority="1129" operator="equal">
      <formula>"TV-pagina"</formula>
    </cfRule>
    <cfRule type="cellIs" dxfId="3445" priority="1130" operator="equal">
      <formula>"Tuinklussen"</formula>
    </cfRule>
    <cfRule type="cellIs" dxfId="3444" priority="1131" operator="equal">
      <formula>"Inspiratie"</formula>
    </cfRule>
  </conditionalFormatting>
  <conditionalFormatting sqref="R63">
    <cfRule type="containsText" dxfId="3443" priority="1200" operator="containsText" text="[adv]">
      <formula>NOT(ISERROR(SEARCH("[adv]",R63)))</formula>
    </cfRule>
    <cfRule type="containsText" dxfId="3442" priority="1201" operator="containsText" text="[pluk]">
      <formula>NOT(ISERROR(SEARCH("[pluk]",R63)))</formula>
    </cfRule>
    <cfRule type="cellIs" dxfId="3441" priority="1202" operator="equal">
      <formula>"_"</formula>
    </cfRule>
    <cfRule type="cellIs" dxfId="3440" priority="1203" operator="equal">
      <formula>"Moestuin"</formula>
    </cfRule>
    <cfRule type="cellIs" dxfId="3439" priority="1204" operator="equal">
      <formula>"Hub"</formula>
    </cfRule>
    <cfRule type="cellIs" dxfId="3438" priority="1205" operator="equal">
      <formula>"Snoeien"</formula>
    </cfRule>
    <cfRule type="cellIs" dxfId="3437" priority="1206" operator="equal">
      <formula>"Biodiversiteit"</formula>
    </cfRule>
    <cfRule type="cellIs" dxfId="3436" priority="1207" operator="equal">
      <formula>"Kamerplanten"</formula>
    </cfRule>
    <cfRule type="cellIs" dxfId="3435" priority="1208" operator="equal">
      <formula>"RERUN"</formula>
    </cfRule>
    <cfRule type="cellIs" dxfId="3434" priority="1209" operator="equal">
      <formula>"Kweken"</formula>
    </cfRule>
    <cfRule type="cellIs" dxfId="3433" priority="1210" operator="equal">
      <formula>"Partnerbijdrage"</formula>
    </cfRule>
    <cfRule type="cellIs" dxfId="3432" priority="1211" operator="equal">
      <formula>"TV-pagina"</formula>
    </cfRule>
    <cfRule type="cellIs" dxfId="3431" priority="1212" operator="equal">
      <formula>"Tuinklussen"</formula>
    </cfRule>
    <cfRule type="cellIs" dxfId="3430" priority="1213" operator="equal">
      <formula>"Inspiratie"</formula>
    </cfRule>
  </conditionalFormatting>
  <conditionalFormatting sqref="R64">
    <cfRule type="containsText" dxfId="3429" priority="1174" operator="containsText" text="[adv]">
      <formula>NOT(ISERROR(SEARCH("[adv]",R64)))</formula>
    </cfRule>
    <cfRule type="containsText" dxfId="3428" priority="1175" operator="containsText" text="[pluk]">
      <formula>NOT(ISERROR(SEARCH("[pluk]",R64)))</formula>
    </cfRule>
    <cfRule type="cellIs" dxfId="3427" priority="1176" operator="equal">
      <formula>"_"</formula>
    </cfRule>
    <cfRule type="cellIs" dxfId="3426" priority="1177" operator="equal">
      <formula>"Moestuin"</formula>
    </cfRule>
    <cfRule type="cellIs" dxfId="3425" priority="1178" operator="equal">
      <formula>"Hub"</formula>
    </cfRule>
    <cfRule type="cellIs" dxfId="3424" priority="1179" operator="equal">
      <formula>"Snoeien"</formula>
    </cfRule>
    <cfRule type="cellIs" dxfId="3423" priority="1180" operator="equal">
      <formula>"Biodiversiteit"</formula>
    </cfRule>
    <cfRule type="cellIs" dxfId="3422" priority="1181" operator="equal">
      <formula>"Kamerplanten"</formula>
    </cfRule>
    <cfRule type="cellIs" dxfId="3421" priority="1182" operator="equal">
      <formula>"RERUN"</formula>
    </cfRule>
    <cfRule type="cellIs" dxfId="3420" priority="1183" operator="equal">
      <formula>"Kweken"</formula>
    </cfRule>
    <cfRule type="cellIs" dxfId="3419" priority="1184" operator="equal">
      <formula>"Partnerbijdrage"</formula>
    </cfRule>
    <cfRule type="cellIs" dxfId="3418" priority="1185" operator="equal">
      <formula>"TV-pagina"</formula>
    </cfRule>
    <cfRule type="cellIs" dxfId="3417" priority="1186" operator="equal">
      <formula>"Tuinklussen"</formula>
    </cfRule>
    <cfRule type="cellIs" dxfId="3416" priority="1187" operator="equal">
      <formula>"Inspiratie"</formula>
    </cfRule>
  </conditionalFormatting>
  <conditionalFormatting sqref="R65">
    <cfRule type="containsText" dxfId="3415" priority="4324" operator="containsText" text="[adv]">
      <formula>NOT(ISERROR(SEARCH("[adv]",R65)))</formula>
    </cfRule>
    <cfRule type="containsText" dxfId="3414" priority="4325" operator="containsText" text="[pluk]">
      <formula>NOT(ISERROR(SEARCH("[pluk]",R65)))</formula>
    </cfRule>
    <cfRule type="cellIs" dxfId="3413" priority="4326" operator="equal">
      <formula>"_"</formula>
    </cfRule>
    <cfRule type="cellIs" dxfId="3412" priority="4327" operator="equal">
      <formula>"Moestuin"</formula>
    </cfRule>
    <cfRule type="cellIs" dxfId="3411" priority="4328" operator="equal">
      <formula>"Hub"</formula>
    </cfRule>
    <cfRule type="cellIs" dxfId="3410" priority="4329" operator="equal">
      <formula>"Snoeien"</formula>
    </cfRule>
    <cfRule type="cellIs" dxfId="3409" priority="4330" operator="equal">
      <formula>"Biodiversiteit"</formula>
    </cfRule>
    <cfRule type="cellIs" dxfId="3408" priority="4331" operator="equal">
      <formula>"Kamerplanten"</formula>
    </cfRule>
    <cfRule type="cellIs" dxfId="3407" priority="4332" operator="equal">
      <formula>"RERUN"</formula>
    </cfRule>
    <cfRule type="cellIs" dxfId="3406" priority="4333" operator="equal">
      <formula>"Kweken"</formula>
    </cfRule>
    <cfRule type="cellIs" dxfId="3405" priority="4334" operator="equal">
      <formula>"Partnerbijdrage"</formula>
    </cfRule>
    <cfRule type="cellIs" dxfId="3404" priority="4335" operator="equal">
      <formula>"TV-pagina"</formula>
    </cfRule>
    <cfRule type="cellIs" dxfId="3403" priority="4336" operator="equal">
      <formula>"Tuinklussen"</formula>
    </cfRule>
    <cfRule type="cellIs" dxfId="3402" priority="4337" operator="equal">
      <formula>"Inspiratie"</formula>
    </cfRule>
  </conditionalFormatting>
  <conditionalFormatting sqref="R66">
    <cfRule type="containsText" dxfId="3401" priority="1152" operator="containsText" text="[adv]">
      <formula>NOT(ISERROR(SEARCH("[adv]",R66)))</formula>
    </cfRule>
    <cfRule type="containsText" dxfId="3400" priority="1153" operator="containsText" text="[pluk]">
      <formula>NOT(ISERROR(SEARCH("[pluk]",R66)))</formula>
    </cfRule>
    <cfRule type="cellIs" dxfId="3399" priority="1154" operator="equal">
      <formula>"_"</formula>
    </cfRule>
    <cfRule type="cellIs" dxfId="3398" priority="1155" operator="equal">
      <formula>"Moestuin"</formula>
    </cfRule>
    <cfRule type="cellIs" dxfId="3397" priority="1156" operator="equal">
      <formula>"Hub"</formula>
    </cfRule>
    <cfRule type="cellIs" dxfId="3396" priority="1157" operator="equal">
      <formula>"Snoeien"</formula>
    </cfRule>
    <cfRule type="cellIs" dxfId="3395" priority="1158" operator="equal">
      <formula>"Biodiversiteit"</formula>
    </cfRule>
    <cfRule type="cellIs" dxfId="3394" priority="1159" operator="equal">
      <formula>"Kamerplanten"</formula>
    </cfRule>
    <cfRule type="cellIs" dxfId="3393" priority="1160" operator="equal">
      <formula>"RERUN"</formula>
    </cfRule>
    <cfRule type="cellIs" dxfId="3392" priority="1161" operator="equal">
      <formula>"Kweken"</formula>
    </cfRule>
    <cfRule type="cellIs" dxfId="3391" priority="1162" operator="equal">
      <formula>"Partnerbijdrage"</formula>
    </cfRule>
    <cfRule type="cellIs" dxfId="3390" priority="1163" operator="equal">
      <formula>"TV-pagina"</formula>
    </cfRule>
    <cfRule type="cellIs" dxfId="3389" priority="1164" operator="equal">
      <formula>"Tuinklussen"</formula>
    </cfRule>
    <cfRule type="cellIs" dxfId="3388" priority="1165" operator="equal">
      <formula>"Inspiratie"</formula>
    </cfRule>
  </conditionalFormatting>
  <conditionalFormatting sqref="R68 R72">
    <cfRule type="containsText" dxfId="3387" priority="4338" operator="containsText" text="[adv]">
      <formula>NOT(ISERROR(SEARCH("[adv]",R68)))</formula>
    </cfRule>
    <cfRule type="containsText" dxfId="3386" priority="4339" operator="containsText" text="[pluk]">
      <formula>NOT(ISERROR(SEARCH("[pluk]",R68)))</formula>
    </cfRule>
    <cfRule type="cellIs" dxfId="3385" priority="4340" operator="equal">
      <formula>"_"</formula>
    </cfRule>
    <cfRule type="cellIs" dxfId="3384" priority="4341" operator="equal">
      <formula>"Moestuin"</formula>
    </cfRule>
    <cfRule type="cellIs" dxfId="3383" priority="4342" operator="equal">
      <formula>"Hub"</formula>
    </cfRule>
    <cfRule type="cellIs" dxfId="3382" priority="4343" operator="equal">
      <formula>"Snoeien"</formula>
    </cfRule>
    <cfRule type="cellIs" dxfId="3381" priority="4344" operator="equal">
      <formula>"Biodiversiteit"</formula>
    </cfRule>
    <cfRule type="cellIs" dxfId="3380" priority="4345" operator="equal">
      <formula>"Kamerplanten"</formula>
    </cfRule>
    <cfRule type="cellIs" dxfId="3379" priority="4346" operator="equal">
      <formula>"RERUN"</formula>
    </cfRule>
    <cfRule type="cellIs" dxfId="3378" priority="4347" operator="equal">
      <formula>"Kweken"</formula>
    </cfRule>
    <cfRule type="cellIs" dxfId="3377" priority="4348" operator="equal">
      <formula>"Partnerbijdrage"</formula>
    </cfRule>
    <cfRule type="cellIs" dxfId="3376" priority="4349" operator="equal">
      <formula>"TV-pagina"</formula>
    </cfRule>
    <cfRule type="cellIs" dxfId="3375" priority="4350" operator="equal">
      <formula>"Tuinklussen"</formula>
    </cfRule>
    <cfRule type="cellIs" dxfId="3374" priority="4351" operator="equal">
      <formula>"Inspiratie"</formula>
    </cfRule>
  </conditionalFormatting>
  <conditionalFormatting sqref="R69">
    <cfRule type="containsText" dxfId="3373" priority="1103" operator="containsText" text="[adv]">
      <formula>NOT(ISERROR(SEARCH("[adv]",R69)))</formula>
    </cfRule>
    <cfRule type="containsText" dxfId="3372" priority="1104" operator="containsText" text="[pluk]">
      <formula>NOT(ISERROR(SEARCH("[pluk]",R69)))</formula>
    </cfRule>
    <cfRule type="cellIs" dxfId="3371" priority="1105" operator="equal">
      <formula>"_"</formula>
    </cfRule>
    <cfRule type="cellIs" dxfId="3370" priority="1106" operator="equal">
      <formula>"Moestuin"</formula>
    </cfRule>
    <cfRule type="cellIs" dxfId="3369" priority="1107" operator="equal">
      <formula>"Hub"</formula>
    </cfRule>
    <cfRule type="cellIs" dxfId="3368" priority="1108" operator="equal">
      <formula>"Snoeien"</formula>
    </cfRule>
    <cfRule type="cellIs" dxfId="3367" priority="1109" operator="equal">
      <formula>"Biodiversiteit"</formula>
    </cfRule>
    <cfRule type="cellIs" dxfId="3366" priority="1110" operator="equal">
      <formula>"Kamerplanten"</formula>
    </cfRule>
    <cfRule type="cellIs" dxfId="3365" priority="1111" operator="equal">
      <formula>"RERUN"</formula>
    </cfRule>
    <cfRule type="cellIs" dxfId="3364" priority="1112" operator="equal">
      <formula>"Kweken"</formula>
    </cfRule>
    <cfRule type="cellIs" dxfId="3363" priority="1113" operator="equal">
      <formula>"Partnerbijdrage"</formula>
    </cfRule>
    <cfRule type="cellIs" dxfId="3362" priority="1114" operator="equal">
      <formula>"TV-pagina"</formula>
    </cfRule>
    <cfRule type="cellIs" dxfId="3361" priority="1115" operator="equal">
      <formula>"Tuinklussen"</formula>
    </cfRule>
    <cfRule type="cellIs" dxfId="3360" priority="1116" operator="equal">
      <formula>"Inspiratie"</formula>
    </cfRule>
  </conditionalFormatting>
  <conditionalFormatting sqref="R70">
    <cfRule type="containsText" dxfId="3359" priority="1084" operator="containsText" text="[adv]">
      <formula>NOT(ISERROR(SEARCH("[adv]",R70)))</formula>
    </cfRule>
    <cfRule type="containsText" dxfId="3358" priority="1085" operator="containsText" text="[pluk]">
      <formula>NOT(ISERROR(SEARCH("[pluk]",R70)))</formula>
    </cfRule>
    <cfRule type="cellIs" dxfId="3357" priority="1086" operator="equal">
      <formula>"_"</formula>
    </cfRule>
    <cfRule type="cellIs" dxfId="3356" priority="1087" operator="equal">
      <formula>"Moestuin"</formula>
    </cfRule>
    <cfRule type="cellIs" dxfId="3355" priority="1088" operator="equal">
      <formula>"Hub"</formula>
    </cfRule>
    <cfRule type="cellIs" dxfId="3354" priority="1089" operator="equal">
      <formula>"Snoeien"</formula>
    </cfRule>
    <cfRule type="cellIs" dxfId="3353" priority="1090" operator="equal">
      <formula>"Biodiversiteit"</formula>
    </cfRule>
    <cfRule type="cellIs" dxfId="3352" priority="1091" operator="equal">
      <formula>"Kamerplanten"</formula>
    </cfRule>
    <cfRule type="cellIs" dxfId="3351" priority="1092" operator="equal">
      <formula>"RERUN"</formula>
    </cfRule>
    <cfRule type="cellIs" dxfId="3350" priority="1093" operator="equal">
      <formula>"Kweken"</formula>
    </cfRule>
    <cfRule type="cellIs" dxfId="3349" priority="1094" operator="equal">
      <formula>"Partnerbijdrage"</formula>
    </cfRule>
    <cfRule type="cellIs" dxfId="3348" priority="1095" operator="equal">
      <formula>"TV-pagina"</formula>
    </cfRule>
    <cfRule type="cellIs" dxfId="3347" priority="1096" operator="equal">
      <formula>"Tuinklussen"</formula>
    </cfRule>
    <cfRule type="cellIs" dxfId="3346" priority="1097" operator="equal">
      <formula>"Inspiratie"</formula>
    </cfRule>
  </conditionalFormatting>
  <conditionalFormatting sqref="R71">
    <cfRule type="containsText" dxfId="3345" priority="225" operator="containsText" text="[adv]">
      <formula>NOT(ISERROR(SEARCH("[adv]",R71)))</formula>
    </cfRule>
    <cfRule type="containsText" dxfId="3344" priority="226" operator="containsText" text="[pluk]">
      <formula>NOT(ISERROR(SEARCH("[pluk]",R71)))</formula>
    </cfRule>
    <cfRule type="cellIs" dxfId="3343" priority="227" operator="equal">
      <formula>"_"</formula>
    </cfRule>
    <cfRule type="cellIs" dxfId="3342" priority="228" operator="equal">
      <formula>"Moestuin"</formula>
    </cfRule>
    <cfRule type="cellIs" dxfId="3341" priority="229" operator="equal">
      <formula>"Hub"</formula>
    </cfRule>
    <cfRule type="cellIs" dxfId="3340" priority="230" operator="equal">
      <formula>"Snoeien"</formula>
    </cfRule>
    <cfRule type="cellIs" dxfId="3339" priority="231" operator="equal">
      <formula>"Biodiversiteit"</formula>
    </cfRule>
    <cfRule type="cellIs" dxfId="3338" priority="232" operator="equal">
      <formula>"Kamerplanten"</formula>
    </cfRule>
    <cfRule type="cellIs" dxfId="3337" priority="233" operator="equal">
      <formula>"RERUN"</formula>
    </cfRule>
    <cfRule type="cellIs" dxfId="3336" priority="234" operator="equal">
      <formula>"Kweken"</formula>
    </cfRule>
    <cfRule type="cellIs" dxfId="3335" priority="235" operator="equal">
      <formula>"Partnerbijdrage"</formula>
    </cfRule>
    <cfRule type="cellIs" dxfId="3334" priority="236" operator="equal">
      <formula>"TV-pagina"</formula>
    </cfRule>
    <cfRule type="cellIs" dxfId="3333" priority="237" operator="equal">
      <formula>"Tuinklussen"</formula>
    </cfRule>
    <cfRule type="cellIs" dxfId="3332" priority="238" operator="equal">
      <formula>"Inspiratie"</formula>
    </cfRule>
  </conditionalFormatting>
  <conditionalFormatting sqref="R73">
    <cfRule type="containsText" dxfId="3331" priority="23" operator="containsText" text="[adv]">
      <formula>NOT(ISERROR(SEARCH("[adv]",R73)))</formula>
    </cfRule>
    <cfRule type="containsText" dxfId="3330" priority="24" operator="containsText" text="[pluk]">
      <formula>NOT(ISERROR(SEARCH("[pluk]",R73)))</formula>
    </cfRule>
    <cfRule type="cellIs" dxfId="3329" priority="25" operator="equal">
      <formula>"_"</formula>
    </cfRule>
    <cfRule type="cellIs" dxfId="3328" priority="26" operator="equal">
      <formula>"Moestuin"</formula>
    </cfRule>
    <cfRule type="cellIs" dxfId="3327" priority="27" operator="equal">
      <formula>"Hub"</formula>
    </cfRule>
    <cfRule type="cellIs" dxfId="3326" priority="28" operator="equal">
      <formula>"Snoeien"</formula>
    </cfRule>
    <cfRule type="cellIs" dxfId="3325" priority="29" operator="equal">
      <formula>"Biodiversiteit"</formula>
    </cfRule>
    <cfRule type="cellIs" dxfId="3324" priority="30" operator="equal">
      <formula>"Kamerplanten"</formula>
    </cfRule>
    <cfRule type="cellIs" dxfId="3323" priority="31" operator="equal">
      <formula>"RERUN"</formula>
    </cfRule>
    <cfRule type="cellIs" dxfId="3322" priority="32" operator="equal">
      <formula>"Kweken"</formula>
    </cfRule>
    <cfRule type="cellIs" dxfId="3321" priority="33" operator="equal">
      <formula>"Partnerbijdrage"</formula>
    </cfRule>
    <cfRule type="cellIs" dxfId="3320" priority="34" operator="equal">
      <formula>"TV-pagina"</formula>
    </cfRule>
    <cfRule type="cellIs" dxfId="3319" priority="35" operator="equal">
      <formula>"Tuinklussen"</formula>
    </cfRule>
    <cfRule type="cellIs" dxfId="3318" priority="36" operator="equal">
      <formula>"Inspiratie"</formula>
    </cfRule>
  </conditionalFormatting>
  <conditionalFormatting sqref="R74">
    <cfRule type="containsText" dxfId="3317" priority="264" operator="containsText" text="[adv]">
      <formula>NOT(ISERROR(SEARCH("[adv]",R74)))</formula>
    </cfRule>
    <cfRule type="containsText" dxfId="3316" priority="265" operator="containsText" text="[pluk]">
      <formula>NOT(ISERROR(SEARCH("[pluk]",R74)))</formula>
    </cfRule>
    <cfRule type="cellIs" dxfId="3315" priority="266" operator="equal">
      <formula>"_"</formula>
    </cfRule>
    <cfRule type="cellIs" dxfId="3314" priority="267" operator="equal">
      <formula>"Moestuin"</formula>
    </cfRule>
    <cfRule type="cellIs" dxfId="3313" priority="268" operator="equal">
      <formula>"Hub"</formula>
    </cfRule>
    <cfRule type="cellIs" dxfId="3312" priority="269" operator="equal">
      <formula>"Snoeien"</formula>
    </cfRule>
    <cfRule type="cellIs" dxfId="3311" priority="270" operator="equal">
      <formula>"Biodiversiteit"</formula>
    </cfRule>
    <cfRule type="cellIs" dxfId="3310" priority="271" operator="equal">
      <formula>"Kamerplanten"</formula>
    </cfRule>
    <cfRule type="cellIs" dxfId="3309" priority="272" operator="equal">
      <formula>"RERUN"</formula>
    </cfRule>
    <cfRule type="cellIs" dxfId="3308" priority="273" operator="equal">
      <formula>"Kweken"</formula>
    </cfRule>
    <cfRule type="cellIs" dxfId="3307" priority="274" operator="equal">
      <formula>"Partnerbijdrage"</formula>
    </cfRule>
    <cfRule type="cellIs" dxfId="3306" priority="275" operator="equal">
      <formula>"TV-pagina"</formula>
    </cfRule>
    <cfRule type="cellIs" dxfId="3305" priority="276" operator="equal">
      <formula>"Tuinklussen"</formula>
    </cfRule>
    <cfRule type="cellIs" dxfId="3304" priority="277" operator="equal">
      <formula>"Inspiratie"</formula>
    </cfRule>
  </conditionalFormatting>
  <conditionalFormatting sqref="R76">
    <cfRule type="containsText" dxfId="3303" priority="297" operator="containsText" text="[adv]">
      <formula>NOT(ISERROR(SEARCH("[adv]",R76)))</formula>
    </cfRule>
    <cfRule type="containsText" dxfId="3302" priority="298" operator="containsText" text="[pluk]">
      <formula>NOT(ISERROR(SEARCH("[pluk]",R76)))</formula>
    </cfRule>
    <cfRule type="cellIs" dxfId="3301" priority="299" operator="equal">
      <formula>"_"</formula>
    </cfRule>
    <cfRule type="cellIs" dxfId="3300" priority="300" operator="equal">
      <formula>"Moestuin"</formula>
    </cfRule>
    <cfRule type="cellIs" dxfId="3299" priority="301" operator="equal">
      <formula>"Hub"</formula>
    </cfRule>
    <cfRule type="cellIs" dxfId="3298" priority="302" operator="equal">
      <formula>"Snoeien"</formula>
    </cfRule>
    <cfRule type="cellIs" dxfId="3297" priority="303" operator="equal">
      <formula>"Biodiversiteit"</formula>
    </cfRule>
    <cfRule type="cellIs" dxfId="3296" priority="304" operator="equal">
      <formula>"Kamerplanten"</formula>
    </cfRule>
    <cfRule type="cellIs" dxfId="3295" priority="305" operator="equal">
      <formula>"RERUN"</formula>
    </cfRule>
    <cfRule type="cellIs" dxfId="3294" priority="306" operator="equal">
      <formula>"Kweken"</formula>
    </cfRule>
    <cfRule type="cellIs" dxfId="3293" priority="307" operator="equal">
      <formula>"Partnerbijdrage"</formula>
    </cfRule>
    <cfRule type="cellIs" dxfId="3292" priority="308" operator="equal">
      <formula>"TV-pagina"</formula>
    </cfRule>
    <cfRule type="cellIs" dxfId="3291" priority="309" operator="equal">
      <formula>"Tuinklussen"</formula>
    </cfRule>
    <cfRule type="cellIs" dxfId="3290" priority="310" operator="equal">
      <formula>"Inspiratie"</formula>
    </cfRule>
  </conditionalFormatting>
  <conditionalFormatting sqref="R77">
    <cfRule type="containsText" dxfId="3289" priority="281" operator="containsText" text="[adv]">
      <formula>NOT(ISERROR(SEARCH("[adv]",R77)))</formula>
    </cfRule>
    <cfRule type="containsText" dxfId="3288" priority="282" operator="containsText" text="[pluk]">
      <formula>NOT(ISERROR(SEARCH("[pluk]",R77)))</formula>
    </cfRule>
    <cfRule type="cellIs" dxfId="3287" priority="283" operator="equal">
      <formula>"_"</formula>
    </cfRule>
    <cfRule type="cellIs" dxfId="3286" priority="284" operator="equal">
      <formula>"Moestuin"</formula>
    </cfRule>
    <cfRule type="cellIs" dxfId="3285" priority="285" operator="equal">
      <formula>"Hub"</formula>
    </cfRule>
    <cfRule type="cellIs" dxfId="3284" priority="286" operator="equal">
      <formula>"Snoeien"</formula>
    </cfRule>
    <cfRule type="cellIs" dxfId="3283" priority="287" operator="equal">
      <formula>"Biodiversiteit"</formula>
    </cfRule>
    <cfRule type="cellIs" dxfId="3282" priority="288" operator="equal">
      <formula>"Kamerplanten"</formula>
    </cfRule>
    <cfRule type="cellIs" dxfId="3281" priority="289" operator="equal">
      <formula>"RERUN"</formula>
    </cfRule>
    <cfRule type="cellIs" dxfId="3280" priority="290" operator="equal">
      <formula>"Kweken"</formula>
    </cfRule>
    <cfRule type="cellIs" dxfId="3279" priority="291" operator="equal">
      <formula>"Partnerbijdrage"</formula>
    </cfRule>
    <cfRule type="cellIs" dxfId="3278" priority="292" operator="equal">
      <formula>"TV-pagina"</formula>
    </cfRule>
    <cfRule type="cellIs" dxfId="3277" priority="293" operator="equal">
      <formula>"Tuinklussen"</formula>
    </cfRule>
    <cfRule type="cellIs" dxfId="3276" priority="294" operator="equal">
      <formula>"Inspiratie"</formula>
    </cfRule>
  </conditionalFormatting>
  <conditionalFormatting sqref="R78:R79 R81 R84:S85 R88:S88 R90 R92:S92 R94:T98 R100:R106 P108:R114 R116:R122 Q124:R130 Q132:R138 R140:R146 Q148:R154 Q156:R162 Q164:R170 Q172:R178 Q180:R186 Q188:R194 R196:R202 Q204:S210 Q212:S218 Q220:R226 Q228:S234 R236:R242 Q244:S250 Q252:S258 R260:R266 Q268:S274 Q276:S282 Q284:S290 Q292:R298 Q300:R306 Q308:R314 Q316:R322 Q324:S330 Q332:S338 Q340:S346 Q348:S354 Q356:S362 Q364:S370 Q372:S378 Q380:S386 Q388:S394 Q396:S402 Q404:S410 Q412:S418">
    <cfRule type="containsText" dxfId="3275" priority="4816" operator="containsText" text="[pluk]">
      <formula>NOT(ISERROR(SEARCH("[pluk]",P78)))</formula>
    </cfRule>
  </conditionalFormatting>
  <conditionalFormatting sqref="R80">
    <cfRule type="containsText" dxfId="3274" priority="244" operator="containsText" text="[adv]">
      <formula>NOT(ISERROR(SEARCH("[adv]",R80)))</formula>
    </cfRule>
    <cfRule type="containsText" dxfId="3273" priority="245" operator="containsText" text="[pluk]">
      <formula>NOT(ISERROR(SEARCH("[pluk]",R80)))</formula>
    </cfRule>
    <cfRule type="cellIs" dxfId="3272" priority="246" operator="equal">
      <formula>"_"</formula>
    </cfRule>
    <cfRule type="cellIs" dxfId="3271" priority="247" operator="equal">
      <formula>"Moestuin"</formula>
    </cfRule>
    <cfRule type="cellIs" dxfId="3270" priority="248" operator="equal">
      <formula>"Hub"</formula>
    </cfRule>
    <cfRule type="cellIs" dxfId="3269" priority="249" operator="equal">
      <formula>"Snoeien"</formula>
    </cfRule>
    <cfRule type="cellIs" dxfId="3268" priority="250" operator="equal">
      <formula>"Biodiversiteit"</formula>
    </cfRule>
    <cfRule type="cellIs" dxfId="3267" priority="251" operator="equal">
      <formula>"Kamerplanten"</formula>
    </cfRule>
    <cfRule type="cellIs" dxfId="3266" priority="252" operator="equal">
      <formula>"RERUN"</formula>
    </cfRule>
    <cfRule type="cellIs" dxfId="3265" priority="253" operator="equal">
      <formula>"Kweken"</formula>
    </cfRule>
    <cfRule type="cellIs" dxfId="3264" priority="254" operator="equal">
      <formula>"Partnerbijdrage"</formula>
    </cfRule>
    <cfRule type="cellIs" dxfId="3263" priority="255" operator="equal">
      <formula>"TV-pagina"</formula>
    </cfRule>
    <cfRule type="cellIs" dxfId="3262" priority="256" operator="equal">
      <formula>"Tuinklussen"</formula>
    </cfRule>
    <cfRule type="cellIs" dxfId="3261" priority="257" operator="equal">
      <formula>"Inspiratie"</formula>
    </cfRule>
  </conditionalFormatting>
  <conditionalFormatting sqref="R82">
    <cfRule type="containsText" dxfId="3260" priority="176" operator="containsText" text="[adv]">
      <formula>NOT(ISERROR(SEARCH("[adv]",R82)))</formula>
    </cfRule>
    <cfRule type="containsText" dxfId="3259" priority="177" operator="containsText" text="[pluk]">
      <formula>NOT(ISERROR(SEARCH("[pluk]",R82)))</formula>
    </cfRule>
    <cfRule type="cellIs" dxfId="3258" priority="178" operator="equal">
      <formula>"_"</formula>
    </cfRule>
    <cfRule type="cellIs" dxfId="3257" priority="179" operator="equal">
      <formula>"Moestuin"</formula>
    </cfRule>
    <cfRule type="cellIs" dxfId="3256" priority="180" operator="equal">
      <formula>"Hub"</formula>
    </cfRule>
    <cfRule type="cellIs" dxfId="3255" priority="181" operator="equal">
      <formula>"Snoeien"</formula>
    </cfRule>
    <cfRule type="cellIs" dxfId="3254" priority="182" operator="equal">
      <formula>"Biodiversiteit"</formula>
    </cfRule>
    <cfRule type="cellIs" dxfId="3253" priority="183" operator="equal">
      <formula>"Kamerplanten"</formula>
    </cfRule>
    <cfRule type="cellIs" dxfId="3252" priority="184" operator="equal">
      <formula>"RERUN"</formula>
    </cfRule>
    <cfRule type="cellIs" dxfId="3251" priority="185" operator="equal">
      <formula>"Kweken"</formula>
    </cfRule>
    <cfRule type="cellIs" dxfId="3250" priority="186" operator="equal">
      <formula>"Partnerbijdrage"</formula>
    </cfRule>
    <cfRule type="cellIs" dxfId="3249" priority="187" operator="equal">
      <formula>"TV-pagina"</formula>
    </cfRule>
    <cfRule type="cellIs" dxfId="3248" priority="188" operator="equal">
      <formula>"Tuinklussen"</formula>
    </cfRule>
    <cfRule type="cellIs" dxfId="3247" priority="189" operator="equal">
      <formula>"Inspiratie"</formula>
    </cfRule>
  </conditionalFormatting>
  <conditionalFormatting sqref="R83 F83 AD83">
    <cfRule type="cellIs" dxfId="3246" priority="2745" operator="equal">
      <formula>"Moestuin"</formula>
    </cfRule>
    <cfRule type="cellIs" dxfId="3245" priority="2746" operator="equal">
      <formula>"Hub"</formula>
    </cfRule>
    <cfRule type="cellIs" dxfId="3244" priority="2747" operator="equal">
      <formula>"Snoeien"</formula>
    </cfRule>
    <cfRule type="cellIs" dxfId="3243" priority="2748" operator="equal">
      <formula>"Biodiversiteit"</formula>
    </cfRule>
    <cfRule type="cellIs" dxfId="3242" priority="2749" operator="equal">
      <formula>"Kamerplanten"</formula>
    </cfRule>
    <cfRule type="cellIs" dxfId="3241" priority="2750" operator="equal">
      <formula>"RERUN"</formula>
    </cfRule>
    <cfRule type="cellIs" dxfId="3240" priority="2751" operator="equal">
      <formula>"Kweken"</formula>
    </cfRule>
    <cfRule type="cellIs" dxfId="3239" priority="2752" operator="equal">
      <formula>"Partnerbijdrage"</formula>
    </cfRule>
    <cfRule type="cellIs" dxfId="3238" priority="2753" operator="equal">
      <formula>"TV-pagina"</formula>
    </cfRule>
    <cfRule type="cellIs" dxfId="3237" priority="2754" operator="equal">
      <formula>"Tuinklussen"</formula>
    </cfRule>
    <cfRule type="cellIs" dxfId="3236" priority="2755" operator="equal">
      <formula>"Inspiratie"</formula>
    </cfRule>
  </conditionalFormatting>
  <conditionalFormatting sqref="R84:R85 R92 R100:R106 R108:R114 R116:R122 R124:R130 R132:R138 R140:R146 R148:R154 R156:R162 R164:R170 R172:R178 R180:R186 R188:R194 R196:R202 R204:R210 R212:R218 R220:R226 R228:R234 R236:R242 R244:R250 R252:R258 R260:R266 R268:R274 R276:R282 R284:R290 R292:R298 R300:R306 R308:R314 R316:R322 R324:R330 R332:R338 R340:R346 R348:R354 R356:R362 R364:R370 R372:R378 R380:R386 R388:R394 R396:R402 R404:R410 R412:R418 R81 R88 R90 R78:R79 R94:R98">
    <cfRule type="containsText" dxfId="3235" priority="4815" operator="containsText" text="[adv]">
      <formula>NOT(ISERROR(SEARCH("[adv]",R78)))</formula>
    </cfRule>
    <cfRule type="cellIs" dxfId="3234" priority="4817" operator="equal">
      <formula>"_"</formula>
    </cfRule>
    <cfRule type="cellIs" dxfId="3233" priority="4818" operator="equal">
      <formula>"Moestuin"</formula>
    </cfRule>
    <cfRule type="cellIs" dxfId="3232" priority="4819" operator="equal">
      <formula>"Hub"</formula>
    </cfRule>
    <cfRule type="cellIs" dxfId="3231" priority="4820" operator="equal">
      <formula>"Snoeien"</formula>
    </cfRule>
    <cfRule type="cellIs" dxfId="3230" priority="4821" operator="equal">
      <formula>"Biodiversiteit"</formula>
    </cfRule>
    <cfRule type="cellIs" dxfId="3229" priority="4822" operator="equal">
      <formula>"Kamerplanten"</formula>
    </cfRule>
    <cfRule type="cellIs" dxfId="3228" priority="4823" operator="equal">
      <formula>"RERUN"</formula>
    </cfRule>
    <cfRule type="cellIs" dxfId="3227" priority="4824" operator="equal">
      <formula>"Kweken"</formula>
    </cfRule>
    <cfRule type="cellIs" dxfId="3226" priority="4825" operator="equal">
      <formula>"Partnerbijdrage"</formula>
    </cfRule>
    <cfRule type="cellIs" dxfId="3225" priority="4826" operator="equal">
      <formula>"TV-pagina"</formula>
    </cfRule>
    <cfRule type="cellIs" dxfId="3224" priority="4827" operator="equal">
      <formula>"Tuinklussen"</formula>
    </cfRule>
    <cfRule type="cellIs" dxfId="3223" priority="4828" operator="equal">
      <formula>"Inspiratie"</formula>
    </cfRule>
  </conditionalFormatting>
  <conditionalFormatting sqref="R86">
    <cfRule type="containsText" dxfId="3222" priority="139" operator="containsText" text="[adv]">
      <formula>NOT(ISERROR(SEARCH("[adv]",R86)))</formula>
    </cfRule>
    <cfRule type="containsText" dxfId="3221" priority="140" operator="containsText" text="[pluk]">
      <formula>NOT(ISERROR(SEARCH("[pluk]",R86)))</formula>
    </cfRule>
    <cfRule type="cellIs" dxfId="3220" priority="141" operator="equal">
      <formula>"_"</formula>
    </cfRule>
    <cfRule type="cellIs" dxfId="3219" priority="142" operator="equal">
      <formula>"Moestuin"</formula>
    </cfRule>
    <cfRule type="cellIs" dxfId="3218" priority="143" operator="equal">
      <formula>"Hub"</formula>
    </cfRule>
    <cfRule type="cellIs" dxfId="3217" priority="144" operator="equal">
      <formula>"Snoeien"</formula>
    </cfRule>
    <cfRule type="cellIs" dxfId="3216" priority="145" operator="equal">
      <formula>"Biodiversiteit"</formula>
    </cfRule>
    <cfRule type="cellIs" dxfId="3215" priority="146" operator="equal">
      <formula>"Kamerplanten"</formula>
    </cfRule>
    <cfRule type="cellIs" dxfId="3214" priority="147" operator="equal">
      <formula>"RERUN"</formula>
    </cfRule>
    <cfRule type="cellIs" dxfId="3213" priority="148" operator="equal">
      <formula>"Kweken"</formula>
    </cfRule>
    <cfRule type="cellIs" dxfId="3212" priority="149" operator="equal">
      <formula>"Partnerbijdrage"</formula>
    </cfRule>
    <cfRule type="cellIs" dxfId="3211" priority="150" operator="equal">
      <formula>"TV-pagina"</formula>
    </cfRule>
    <cfRule type="cellIs" dxfId="3210" priority="151" operator="equal">
      <formula>"Tuinklussen"</formula>
    </cfRule>
    <cfRule type="cellIs" dxfId="3209" priority="152" operator="equal">
      <formula>"Inspiratie"</formula>
    </cfRule>
  </conditionalFormatting>
  <conditionalFormatting sqref="R87">
    <cfRule type="containsText" dxfId="3208" priority="122" operator="containsText" text="[adv]">
      <formula>NOT(ISERROR(SEARCH("[adv]",R87)))</formula>
    </cfRule>
    <cfRule type="containsText" dxfId="3207" priority="123" operator="containsText" text="[pluk]">
      <formula>NOT(ISERROR(SEARCH("[pluk]",R87)))</formula>
    </cfRule>
    <cfRule type="cellIs" dxfId="3206" priority="124" operator="equal">
      <formula>"_"</formula>
    </cfRule>
    <cfRule type="cellIs" dxfId="3205" priority="125" operator="equal">
      <formula>"Moestuin"</formula>
    </cfRule>
    <cfRule type="cellIs" dxfId="3204" priority="126" operator="equal">
      <formula>"Hub"</formula>
    </cfRule>
    <cfRule type="cellIs" dxfId="3203" priority="127" operator="equal">
      <formula>"Snoeien"</formula>
    </cfRule>
    <cfRule type="cellIs" dxfId="3202" priority="128" operator="equal">
      <formula>"Biodiversiteit"</formula>
    </cfRule>
    <cfRule type="cellIs" dxfId="3201" priority="129" operator="equal">
      <formula>"Kamerplanten"</formula>
    </cfRule>
    <cfRule type="cellIs" dxfId="3200" priority="130" operator="equal">
      <formula>"RERUN"</formula>
    </cfRule>
    <cfRule type="cellIs" dxfId="3199" priority="131" operator="equal">
      <formula>"Kweken"</formula>
    </cfRule>
    <cfRule type="cellIs" dxfId="3198" priority="132" operator="equal">
      <formula>"Partnerbijdrage"</formula>
    </cfRule>
    <cfRule type="cellIs" dxfId="3197" priority="133" operator="equal">
      <formula>"TV-pagina"</formula>
    </cfRule>
    <cfRule type="cellIs" dxfId="3196" priority="134" operator="equal">
      <formula>"Tuinklussen"</formula>
    </cfRule>
    <cfRule type="cellIs" dxfId="3195" priority="135" operator="equal">
      <formula>"Inspiratie"</formula>
    </cfRule>
  </conditionalFormatting>
  <conditionalFormatting sqref="R89">
    <cfRule type="containsText" dxfId="3194" priority="64" operator="containsText" text="[adv]">
      <formula>NOT(ISERROR(SEARCH("[adv]",R89)))</formula>
    </cfRule>
    <cfRule type="containsText" dxfId="3193" priority="65" operator="containsText" text="[pluk]">
      <formula>NOT(ISERROR(SEARCH("[pluk]",R89)))</formula>
    </cfRule>
    <cfRule type="cellIs" dxfId="3192" priority="66" operator="equal">
      <formula>"_"</formula>
    </cfRule>
    <cfRule type="cellIs" dxfId="3191" priority="67" operator="equal">
      <formula>"Moestuin"</formula>
    </cfRule>
    <cfRule type="cellIs" dxfId="3190" priority="68" operator="equal">
      <formula>"Hub"</formula>
    </cfRule>
    <cfRule type="cellIs" dxfId="3189" priority="69" operator="equal">
      <formula>"Snoeien"</formula>
    </cfRule>
    <cfRule type="cellIs" dxfId="3188" priority="70" operator="equal">
      <formula>"Biodiversiteit"</formula>
    </cfRule>
    <cfRule type="cellIs" dxfId="3187" priority="71" operator="equal">
      <formula>"Kamerplanten"</formula>
    </cfRule>
    <cfRule type="cellIs" dxfId="3186" priority="72" operator="equal">
      <formula>"RERUN"</formula>
    </cfRule>
    <cfRule type="cellIs" dxfId="3185" priority="73" operator="equal">
      <formula>"Kweken"</formula>
    </cfRule>
    <cfRule type="cellIs" dxfId="3184" priority="74" operator="equal">
      <formula>"Partnerbijdrage"</formula>
    </cfRule>
    <cfRule type="cellIs" dxfId="3183" priority="75" operator="equal">
      <formula>"TV-pagina"</formula>
    </cfRule>
    <cfRule type="cellIs" dxfId="3182" priority="76" operator="equal">
      <formula>"Tuinklussen"</formula>
    </cfRule>
    <cfRule type="cellIs" dxfId="3181" priority="77" operator="equal">
      <formula>"Inspiratie"</formula>
    </cfRule>
  </conditionalFormatting>
  <conditionalFormatting sqref="R91 F91 AD91">
    <cfRule type="cellIs" dxfId="3180" priority="2733" operator="equal">
      <formula>"Moestuin"</formula>
    </cfRule>
    <cfRule type="cellIs" dxfId="3179" priority="2734" operator="equal">
      <formula>"Hub"</formula>
    </cfRule>
    <cfRule type="cellIs" dxfId="3178" priority="2735" operator="equal">
      <formula>"Snoeien"</formula>
    </cfRule>
    <cfRule type="cellIs" dxfId="3177" priority="2736" operator="equal">
      <formula>"Biodiversiteit"</formula>
    </cfRule>
    <cfRule type="cellIs" dxfId="3176" priority="2737" operator="equal">
      <formula>"Kamerplanten"</formula>
    </cfRule>
    <cfRule type="cellIs" dxfId="3175" priority="2738" operator="equal">
      <formula>"RERUN"</formula>
    </cfRule>
    <cfRule type="cellIs" dxfId="3174" priority="2739" operator="equal">
      <formula>"Kweken"</formula>
    </cfRule>
    <cfRule type="cellIs" dxfId="3173" priority="2740" operator="equal">
      <formula>"Partnerbijdrage"</formula>
    </cfRule>
    <cfRule type="cellIs" dxfId="3172" priority="2741" operator="equal">
      <formula>"TV-pagina"</formula>
    </cfRule>
    <cfRule type="cellIs" dxfId="3171" priority="2742" operator="equal">
      <formula>"Tuinklussen"</formula>
    </cfRule>
    <cfRule type="cellIs" dxfId="3170" priority="2743" operator="equal">
      <formula>"Inspiratie"</formula>
    </cfRule>
  </conditionalFormatting>
  <conditionalFormatting sqref="R93">
    <cfRule type="containsText" dxfId="3169" priority="4" operator="containsText" text="[adv]">
      <formula>NOT(ISERROR(SEARCH("[adv]",R93)))</formula>
    </cfRule>
    <cfRule type="containsText" dxfId="3168" priority="5" operator="containsText" text="[pluk]">
      <formula>NOT(ISERROR(SEARCH("[pluk]",R93)))</formula>
    </cfRule>
    <cfRule type="cellIs" dxfId="3167" priority="6" operator="equal">
      <formula>"_"</formula>
    </cfRule>
    <cfRule type="cellIs" dxfId="3166" priority="7" operator="equal">
      <formula>"Moestuin"</formula>
    </cfRule>
    <cfRule type="cellIs" dxfId="3165" priority="8" operator="equal">
      <formula>"Hub"</formula>
    </cfRule>
    <cfRule type="cellIs" dxfId="3164" priority="9" operator="equal">
      <formula>"Snoeien"</formula>
    </cfRule>
    <cfRule type="cellIs" dxfId="3163" priority="10" operator="equal">
      <formula>"Biodiversiteit"</formula>
    </cfRule>
    <cfRule type="cellIs" dxfId="3162" priority="11" operator="equal">
      <formula>"Kamerplanten"</formula>
    </cfRule>
    <cfRule type="cellIs" dxfId="3161" priority="12" operator="equal">
      <formula>"RERUN"</formula>
    </cfRule>
    <cfRule type="cellIs" dxfId="3160" priority="13" operator="equal">
      <formula>"Kweken"</formula>
    </cfRule>
    <cfRule type="cellIs" dxfId="3159" priority="14" operator="equal">
      <formula>"Partnerbijdrage"</formula>
    </cfRule>
    <cfRule type="cellIs" dxfId="3158" priority="15" operator="equal">
      <formula>"TV-pagina"</formula>
    </cfRule>
    <cfRule type="cellIs" dxfId="3157" priority="16" operator="equal">
      <formula>"Tuinklussen"</formula>
    </cfRule>
    <cfRule type="cellIs" dxfId="3156" priority="17" operator="equal">
      <formula>"Inspiratie"</formula>
    </cfRule>
  </conditionalFormatting>
  <conditionalFormatting sqref="R99 F99 AD99">
    <cfRule type="cellIs" dxfId="3155" priority="2721" operator="equal">
      <formula>"Moestuin"</formula>
    </cfRule>
    <cfRule type="cellIs" dxfId="3154" priority="2722" operator="equal">
      <formula>"Hub"</formula>
    </cfRule>
    <cfRule type="cellIs" dxfId="3153" priority="2723" operator="equal">
      <formula>"Snoeien"</formula>
    </cfRule>
    <cfRule type="cellIs" dxfId="3152" priority="2724" operator="equal">
      <formula>"Biodiversiteit"</formula>
    </cfRule>
    <cfRule type="cellIs" dxfId="3151" priority="2725" operator="equal">
      <formula>"Kamerplanten"</formula>
    </cfRule>
    <cfRule type="cellIs" dxfId="3150" priority="2726" operator="equal">
      <formula>"RERUN"</formula>
    </cfRule>
    <cfRule type="cellIs" dxfId="3149" priority="2727" operator="equal">
      <formula>"Kweken"</formula>
    </cfRule>
    <cfRule type="cellIs" dxfId="3148" priority="2728" operator="equal">
      <formula>"Partnerbijdrage"</formula>
    </cfRule>
    <cfRule type="cellIs" dxfId="3147" priority="2729" operator="equal">
      <formula>"TV-pagina"</formula>
    </cfRule>
    <cfRule type="cellIs" dxfId="3146" priority="2730" operator="equal">
      <formula>"Tuinklussen"</formula>
    </cfRule>
    <cfRule type="cellIs" dxfId="3145" priority="2731" operator="equal">
      <formula>"Inspiratie"</formula>
    </cfRule>
  </conditionalFormatting>
  <conditionalFormatting sqref="R107 F107 AD107">
    <cfRule type="cellIs" dxfId="3144" priority="2707" operator="equal">
      <formula>"Moestuin"</formula>
    </cfRule>
    <cfRule type="cellIs" dxfId="3143" priority="2708" operator="equal">
      <formula>"Hub"</formula>
    </cfRule>
    <cfRule type="cellIs" dxfId="3142" priority="2709" operator="equal">
      <formula>"Snoeien"</formula>
    </cfRule>
    <cfRule type="cellIs" dxfId="3141" priority="2710" operator="equal">
      <formula>"Biodiversiteit"</formula>
    </cfRule>
    <cfRule type="cellIs" dxfId="3140" priority="2711" operator="equal">
      <formula>"Kamerplanten"</formula>
    </cfRule>
    <cfRule type="cellIs" dxfId="3139" priority="2712" operator="equal">
      <formula>"RERUN"</formula>
    </cfRule>
    <cfRule type="cellIs" dxfId="3138" priority="2713" operator="equal">
      <formula>"Kweken"</formula>
    </cfRule>
    <cfRule type="cellIs" dxfId="3137" priority="2714" operator="equal">
      <formula>"Partnerbijdrage"</formula>
    </cfRule>
    <cfRule type="cellIs" dxfId="3136" priority="2715" operator="equal">
      <formula>"TV-pagina"</formula>
    </cfRule>
    <cfRule type="cellIs" dxfId="3135" priority="2716" operator="equal">
      <formula>"Tuinklussen"</formula>
    </cfRule>
    <cfRule type="cellIs" dxfId="3134" priority="2717" operator="equal">
      <formula>"Inspiratie"</formula>
    </cfRule>
  </conditionalFormatting>
  <conditionalFormatting sqref="R115 F115 AD115">
    <cfRule type="cellIs" dxfId="3133" priority="2686" operator="equal">
      <formula>"Moestuin"</formula>
    </cfRule>
    <cfRule type="cellIs" dxfId="3132" priority="2687" operator="equal">
      <formula>"Hub"</formula>
    </cfRule>
    <cfRule type="cellIs" dxfId="3131" priority="2688" operator="equal">
      <formula>"Snoeien"</formula>
    </cfRule>
    <cfRule type="cellIs" dxfId="3130" priority="2689" operator="equal">
      <formula>"Biodiversiteit"</formula>
    </cfRule>
    <cfRule type="cellIs" dxfId="3129" priority="2690" operator="equal">
      <formula>"Kamerplanten"</formula>
    </cfRule>
    <cfRule type="cellIs" dxfId="3128" priority="2691" operator="equal">
      <formula>"RERUN"</formula>
    </cfRule>
    <cfRule type="cellIs" dxfId="3127" priority="2692" operator="equal">
      <formula>"Kweken"</formula>
    </cfRule>
    <cfRule type="cellIs" dxfId="3126" priority="2693" operator="equal">
      <formula>"Partnerbijdrage"</formula>
    </cfRule>
    <cfRule type="cellIs" dxfId="3125" priority="2694" operator="equal">
      <formula>"TV-pagina"</formula>
    </cfRule>
    <cfRule type="cellIs" dxfId="3124" priority="2695" operator="equal">
      <formula>"Tuinklussen"</formula>
    </cfRule>
    <cfRule type="cellIs" dxfId="3123" priority="2696" operator="equal">
      <formula>"Inspiratie"</formula>
    </cfRule>
  </conditionalFormatting>
  <conditionalFormatting sqref="R123 F123 AD123">
    <cfRule type="cellIs" dxfId="3122" priority="2659" operator="equal">
      <formula>"Moestuin"</formula>
    </cfRule>
    <cfRule type="cellIs" dxfId="3121" priority="2660" operator="equal">
      <formula>"Hub"</formula>
    </cfRule>
    <cfRule type="cellIs" dxfId="3120" priority="2661" operator="equal">
      <formula>"Snoeien"</formula>
    </cfRule>
    <cfRule type="cellIs" dxfId="3119" priority="2662" operator="equal">
      <formula>"Biodiversiteit"</formula>
    </cfRule>
    <cfRule type="cellIs" dxfId="3118" priority="2663" operator="equal">
      <formula>"Kamerplanten"</formula>
    </cfRule>
    <cfRule type="cellIs" dxfId="3117" priority="2664" operator="equal">
      <formula>"RERUN"</formula>
    </cfRule>
    <cfRule type="cellIs" dxfId="3116" priority="2665" operator="equal">
      <formula>"Kweken"</formula>
    </cfRule>
    <cfRule type="cellIs" dxfId="3115" priority="2666" operator="equal">
      <formula>"Partnerbijdrage"</formula>
    </cfRule>
    <cfRule type="cellIs" dxfId="3114" priority="2667" operator="equal">
      <formula>"TV-pagina"</formula>
    </cfRule>
    <cfRule type="cellIs" dxfId="3113" priority="2668" operator="equal">
      <formula>"Tuinklussen"</formula>
    </cfRule>
    <cfRule type="cellIs" dxfId="3112" priority="2669" operator="equal">
      <formula>"Inspiratie"</formula>
    </cfRule>
  </conditionalFormatting>
  <conditionalFormatting sqref="R131 F131 AD131">
    <cfRule type="cellIs" dxfId="3111" priority="2633" operator="equal">
      <formula>"Moestuin"</formula>
    </cfRule>
    <cfRule type="cellIs" dxfId="3110" priority="2634" operator="equal">
      <formula>"Hub"</formula>
    </cfRule>
    <cfRule type="cellIs" dxfId="3109" priority="2635" operator="equal">
      <formula>"Snoeien"</formula>
    </cfRule>
    <cfRule type="cellIs" dxfId="3108" priority="2636" operator="equal">
      <formula>"Biodiversiteit"</formula>
    </cfRule>
    <cfRule type="cellIs" dxfId="3107" priority="2637" operator="equal">
      <formula>"Kamerplanten"</formula>
    </cfRule>
    <cfRule type="cellIs" dxfId="3106" priority="2638" operator="equal">
      <formula>"RERUN"</formula>
    </cfRule>
    <cfRule type="cellIs" dxfId="3105" priority="2639" operator="equal">
      <formula>"Kweken"</formula>
    </cfRule>
    <cfRule type="cellIs" dxfId="3104" priority="2640" operator="equal">
      <formula>"Partnerbijdrage"</formula>
    </cfRule>
    <cfRule type="cellIs" dxfId="3103" priority="2641" operator="equal">
      <formula>"TV-pagina"</formula>
    </cfRule>
    <cfRule type="cellIs" dxfId="3102" priority="2642" operator="equal">
      <formula>"Tuinklussen"</formula>
    </cfRule>
    <cfRule type="cellIs" dxfId="3101" priority="2643" operator="equal">
      <formula>"Inspiratie"</formula>
    </cfRule>
  </conditionalFormatting>
  <conditionalFormatting sqref="R139 F139 AD139">
    <cfRule type="cellIs" dxfId="3100" priority="2608" operator="equal">
      <formula>"Moestuin"</formula>
    </cfRule>
    <cfRule type="cellIs" dxfId="3099" priority="2609" operator="equal">
      <formula>"Hub"</formula>
    </cfRule>
    <cfRule type="cellIs" dxfId="3098" priority="2610" operator="equal">
      <formula>"Snoeien"</formula>
    </cfRule>
    <cfRule type="cellIs" dxfId="3097" priority="2611" operator="equal">
      <formula>"Biodiversiteit"</formula>
    </cfRule>
    <cfRule type="cellIs" dxfId="3096" priority="2612" operator="equal">
      <formula>"Kamerplanten"</formula>
    </cfRule>
    <cfRule type="cellIs" dxfId="3095" priority="2613" operator="equal">
      <formula>"RERUN"</formula>
    </cfRule>
    <cfRule type="cellIs" dxfId="3094" priority="2614" operator="equal">
      <formula>"Kweken"</formula>
    </cfRule>
    <cfRule type="cellIs" dxfId="3093" priority="2615" operator="equal">
      <formula>"Partnerbijdrage"</formula>
    </cfRule>
    <cfRule type="cellIs" dxfId="3092" priority="2616" operator="equal">
      <formula>"TV-pagina"</formula>
    </cfRule>
    <cfRule type="cellIs" dxfId="3091" priority="2617" operator="equal">
      <formula>"Tuinklussen"</formula>
    </cfRule>
    <cfRule type="cellIs" dxfId="3090" priority="2618" operator="equal">
      <formula>"Inspiratie"</formula>
    </cfRule>
  </conditionalFormatting>
  <conditionalFormatting sqref="R147 F147 AD147">
    <cfRule type="cellIs" dxfId="3089" priority="2582" operator="equal">
      <formula>"Moestuin"</formula>
    </cfRule>
    <cfRule type="cellIs" dxfId="3088" priority="2583" operator="equal">
      <formula>"Hub"</formula>
    </cfRule>
    <cfRule type="cellIs" dxfId="3087" priority="2584" operator="equal">
      <formula>"Snoeien"</formula>
    </cfRule>
    <cfRule type="cellIs" dxfId="3086" priority="2585" operator="equal">
      <formula>"Biodiversiteit"</formula>
    </cfRule>
    <cfRule type="cellIs" dxfId="3085" priority="2586" operator="equal">
      <formula>"Kamerplanten"</formula>
    </cfRule>
    <cfRule type="cellIs" dxfId="3084" priority="2587" operator="equal">
      <formula>"RERUN"</formula>
    </cfRule>
    <cfRule type="cellIs" dxfId="3083" priority="2588" operator="equal">
      <formula>"Kweken"</formula>
    </cfRule>
    <cfRule type="cellIs" dxfId="3082" priority="2589" operator="equal">
      <formula>"Partnerbijdrage"</formula>
    </cfRule>
    <cfRule type="cellIs" dxfId="3081" priority="2590" operator="equal">
      <formula>"TV-pagina"</formula>
    </cfRule>
    <cfRule type="cellIs" dxfId="3080" priority="2591" operator="equal">
      <formula>"Tuinklussen"</formula>
    </cfRule>
    <cfRule type="cellIs" dxfId="3079" priority="2592" operator="equal">
      <formula>"Inspiratie"</formula>
    </cfRule>
  </conditionalFormatting>
  <conditionalFormatting sqref="R155 F155 AD155">
    <cfRule type="cellIs" dxfId="3078" priority="2554" operator="equal">
      <formula>"Moestuin"</formula>
    </cfRule>
    <cfRule type="cellIs" dxfId="3077" priority="2555" operator="equal">
      <formula>"Hub"</formula>
    </cfRule>
    <cfRule type="cellIs" dxfId="3076" priority="2556" operator="equal">
      <formula>"Snoeien"</formula>
    </cfRule>
    <cfRule type="cellIs" dxfId="3075" priority="2557" operator="equal">
      <formula>"Biodiversiteit"</formula>
    </cfRule>
    <cfRule type="cellIs" dxfId="3074" priority="2558" operator="equal">
      <formula>"Kamerplanten"</formula>
    </cfRule>
    <cfRule type="cellIs" dxfId="3073" priority="2559" operator="equal">
      <formula>"RERUN"</formula>
    </cfRule>
    <cfRule type="cellIs" dxfId="3072" priority="2560" operator="equal">
      <formula>"Kweken"</formula>
    </cfRule>
    <cfRule type="cellIs" dxfId="3071" priority="2561" operator="equal">
      <formula>"Partnerbijdrage"</formula>
    </cfRule>
    <cfRule type="cellIs" dxfId="3070" priority="2562" operator="equal">
      <formula>"TV-pagina"</formula>
    </cfRule>
    <cfRule type="cellIs" dxfId="3069" priority="2563" operator="equal">
      <formula>"Tuinklussen"</formula>
    </cfRule>
    <cfRule type="cellIs" dxfId="3068" priority="2564" operator="equal">
      <formula>"Inspiratie"</formula>
    </cfRule>
  </conditionalFormatting>
  <conditionalFormatting sqref="R163 F163 AD163">
    <cfRule type="cellIs" dxfId="3067" priority="2527" operator="equal">
      <formula>"Moestuin"</formula>
    </cfRule>
    <cfRule type="cellIs" dxfId="3066" priority="2528" operator="equal">
      <formula>"Hub"</formula>
    </cfRule>
    <cfRule type="cellIs" dxfId="3065" priority="2529" operator="equal">
      <formula>"Snoeien"</formula>
    </cfRule>
    <cfRule type="cellIs" dxfId="3064" priority="2530" operator="equal">
      <formula>"Biodiversiteit"</formula>
    </cfRule>
    <cfRule type="cellIs" dxfId="3063" priority="2531" operator="equal">
      <formula>"Kamerplanten"</formula>
    </cfRule>
    <cfRule type="cellIs" dxfId="3062" priority="2532" operator="equal">
      <formula>"RERUN"</formula>
    </cfRule>
    <cfRule type="cellIs" dxfId="3061" priority="2533" operator="equal">
      <formula>"Kweken"</formula>
    </cfRule>
    <cfRule type="cellIs" dxfId="3060" priority="2534" operator="equal">
      <formula>"Partnerbijdrage"</formula>
    </cfRule>
    <cfRule type="cellIs" dxfId="3059" priority="2535" operator="equal">
      <formula>"TV-pagina"</formula>
    </cfRule>
    <cfRule type="cellIs" dxfId="3058" priority="2536" operator="equal">
      <formula>"Tuinklussen"</formula>
    </cfRule>
    <cfRule type="cellIs" dxfId="3057" priority="2537" operator="equal">
      <formula>"Inspiratie"</formula>
    </cfRule>
  </conditionalFormatting>
  <conditionalFormatting sqref="R171 F171 AD171">
    <cfRule type="cellIs" dxfId="3056" priority="2499" operator="equal">
      <formula>"Moestuin"</formula>
    </cfRule>
    <cfRule type="cellIs" dxfId="3055" priority="2500" operator="equal">
      <formula>"Hub"</formula>
    </cfRule>
    <cfRule type="cellIs" dxfId="3054" priority="2501" operator="equal">
      <formula>"Snoeien"</formula>
    </cfRule>
    <cfRule type="cellIs" dxfId="3053" priority="2502" operator="equal">
      <formula>"Biodiversiteit"</formula>
    </cfRule>
    <cfRule type="cellIs" dxfId="3052" priority="2503" operator="equal">
      <formula>"Kamerplanten"</formula>
    </cfRule>
    <cfRule type="cellIs" dxfId="3051" priority="2504" operator="equal">
      <formula>"RERUN"</formula>
    </cfRule>
    <cfRule type="cellIs" dxfId="3050" priority="2505" operator="equal">
      <formula>"Kweken"</formula>
    </cfRule>
    <cfRule type="cellIs" dxfId="3049" priority="2506" operator="equal">
      <formula>"Partnerbijdrage"</formula>
    </cfRule>
    <cfRule type="cellIs" dxfId="3048" priority="2507" operator="equal">
      <formula>"TV-pagina"</formula>
    </cfRule>
    <cfRule type="cellIs" dxfId="3047" priority="2508" operator="equal">
      <formula>"Tuinklussen"</formula>
    </cfRule>
    <cfRule type="cellIs" dxfId="3046" priority="2509" operator="equal">
      <formula>"Inspiratie"</formula>
    </cfRule>
  </conditionalFormatting>
  <conditionalFormatting sqref="R179 F179 AD179">
    <cfRule type="cellIs" dxfId="3045" priority="2472" operator="equal">
      <formula>"Moestuin"</formula>
    </cfRule>
    <cfRule type="cellIs" dxfId="3044" priority="2473" operator="equal">
      <formula>"Hub"</formula>
    </cfRule>
    <cfRule type="cellIs" dxfId="3043" priority="2474" operator="equal">
      <formula>"Snoeien"</formula>
    </cfRule>
    <cfRule type="cellIs" dxfId="3042" priority="2475" operator="equal">
      <formula>"Biodiversiteit"</formula>
    </cfRule>
    <cfRule type="cellIs" dxfId="3041" priority="2476" operator="equal">
      <formula>"Kamerplanten"</formula>
    </cfRule>
    <cfRule type="cellIs" dxfId="3040" priority="2477" operator="equal">
      <formula>"RERUN"</formula>
    </cfRule>
    <cfRule type="cellIs" dxfId="3039" priority="2478" operator="equal">
      <formula>"Kweken"</formula>
    </cfRule>
    <cfRule type="cellIs" dxfId="3038" priority="2479" operator="equal">
      <formula>"Partnerbijdrage"</formula>
    </cfRule>
    <cfRule type="cellIs" dxfId="3037" priority="2480" operator="equal">
      <formula>"TV-pagina"</formula>
    </cfRule>
    <cfRule type="cellIs" dxfId="3036" priority="2481" operator="equal">
      <formula>"Tuinklussen"</formula>
    </cfRule>
    <cfRule type="cellIs" dxfId="3035" priority="2482" operator="equal">
      <formula>"Inspiratie"</formula>
    </cfRule>
  </conditionalFormatting>
  <conditionalFormatting sqref="R187 F187 AD187">
    <cfRule type="cellIs" dxfId="3034" priority="2441" operator="equal">
      <formula>"Moestuin"</formula>
    </cfRule>
    <cfRule type="cellIs" dxfId="3033" priority="2442" operator="equal">
      <formula>"Hub"</formula>
    </cfRule>
    <cfRule type="cellIs" dxfId="3032" priority="2443" operator="equal">
      <formula>"Snoeien"</formula>
    </cfRule>
    <cfRule type="cellIs" dxfId="3031" priority="2444" operator="equal">
      <formula>"Biodiversiteit"</formula>
    </cfRule>
    <cfRule type="cellIs" dxfId="3030" priority="2445" operator="equal">
      <formula>"Kamerplanten"</formula>
    </cfRule>
    <cfRule type="cellIs" dxfId="3029" priority="2446" operator="equal">
      <formula>"RERUN"</formula>
    </cfRule>
    <cfRule type="cellIs" dxfId="3028" priority="2447" operator="equal">
      <formula>"Kweken"</formula>
    </cfRule>
    <cfRule type="cellIs" dxfId="3027" priority="2448" operator="equal">
      <formula>"Partnerbijdrage"</formula>
    </cfRule>
    <cfRule type="cellIs" dxfId="3026" priority="2449" operator="equal">
      <formula>"TV-pagina"</formula>
    </cfRule>
    <cfRule type="cellIs" dxfId="3025" priority="2450" operator="equal">
      <formula>"Tuinklussen"</formula>
    </cfRule>
    <cfRule type="cellIs" dxfId="3024" priority="2451" operator="equal">
      <formula>"Inspiratie"</formula>
    </cfRule>
  </conditionalFormatting>
  <conditionalFormatting sqref="R195 F195 AD195">
    <cfRule type="cellIs" dxfId="3023" priority="2410" operator="equal">
      <formula>"Moestuin"</formula>
    </cfRule>
    <cfRule type="cellIs" dxfId="3022" priority="2411" operator="equal">
      <formula>"Hub"</formula>
    </cfRule>
    <cfRule type="cellIs" dxfId="3021" priority="2412" operator="equal">
      <formula>"Snoeien"</formula>
    </cfRule>
    <cfRule type="cellIs" dxfId="3020" priority="2413" operator="equal">
      <formula>"Biodiversiteit"</formula>
    </cfRule>
    <cfRule type="cellIs" dxfId="3019" priority="2414" operator="equal">
      <formula>"Kamerplanten"</formula>
    </cfRule>
    <cfRule type="cellIs" dxfId="3018" priority="2415" operator="equal">
      <formula>"RERUN"</formula>
    </cfRule>
    <cfRule type="cellIs" dxfId="3017" priority="2416" operator="equal">
      <formula>"Kweken"</formula>
    </cfRule>
    <cfRule type="cellIs" dxfId="3016" priority="2417" operator="equal">
      <formula>"Partnerbijdrage"</formula>
    </cfRule>
    <cfRule type="cellIs" dxfId="3015" priority="2418" operator="equal">
      <formula>"TV-pagina"</formula>
    </cfRule>
    <cfRule type="cellIs" dxfId="3014" priority="2419" operator="equal">
      <formula>"Tuinklussen"</formula>
    </cfRule>
    <cfRule type="cellIs" dxfId="3013" priority="2420" operator="equal">
      <formula>"Inspiratie"</formula>
    </cfRule>
  </conditionalFormatting>
  <conditionalFormatting sqref="R203 F203 AD203">
    <cfRule type="cellIs" dxfId="3012" priority="2378" operator="equal">
      <formula>"Moestuin"</formula>
    </cfRule>
    <cfRule type="cellIs" dxfId="3011" priority="2379" operator="equal">
      <formula>"Hub"</formula>
    </cfRule>
    <cfRule type="cellIs" dxfId="3010" priority="2380" operator="equal">
      <formula>"Snoeien"</formula>
    </cfRule>
    <cfRule type="cellIs" dxfId="3009" priority="2381" operator="equal">
      <formula>"Biodiversiteit"</formula>
    </cfRule>
    <cfRule type="cellIs" dxfId="3008" priority="2382" operator="equal">
      <formula>"Kamerplanten"</formula>
    </cfRule>
    <cfRule type="cellIs" dxfId="3007" priority="2383" operator="equal">
      <formula>"RERUN"</formula>
    </cfRule>
    <cfRule type="cellIs" dxfId="3006" priority="2384" operator="equal">
      <formula>"Kweken"</formula>
    </cfRule>
    <cfRule type="cellIs" dxfId="3005" priority="2385" operator="equal">
      <formula>"Partnerbijdrage"</formula>
    </cfRule>
    <cfRule type="cellIs" dxfId="3004" priority="2386" operator="equal">
      <formula>"TV-pagina"</formula>
    </cfRule>
    <cfRule type="cellIs" dxfId="3003" priority="2387" operator="equal">
      <formula>"Tuinklussen"</formula>
    </cfRule>
    <cfRule type="cellIs" dxfId="3002" priority="2388" operator="equal">
      <formula>"Inspiratie"</formula>
    </cfRule>
  </conditionalFormatting>
  <conditionalFormatting sqref="R211 F211 AD211">
    <cfRule type="cellIs" dxfId="3001" priority="2347" operator="equal">
      <formula>"Moestuin"</formula>
    </cfRule>
    <cfRule type="cellIs" dxfId="3000" priority="2348" operator="equal">
      <formula>"Hub"</formula>
    </cfRule>
    <cfRule type="cellIs" dxfId="2999" priority="2349" operator="equal">
      <formula>"Snoeien"</formula>
    </cfRule>
    <cfRule type="cellIs" dxfId="2998" priority="2350" operator="equal">
      <formula>"Biodiversiteit"</formula>
    </cfRule>
    <cfRule type="cellIs" dxfId="2997" priority="2351" operator="equal">
      <formula>"Kamerplanten"</formula>
    </cfRule>
    <cfRule type="cellIs" dxfId="2996" priority="2352" operator="equal">
      <formula>"RERUN"</formula>
    </cfRule>
    <cfRule type="cellIs" dxfId="2995" priority="2353" operator="equal">
      <formula>"Kweken"</formula>
    </cfRule>
    <cfRule type="cellIs" dxfId="2994" priority="2354" operator="equal">
      <formula>"Partnerbijdrage"</formula>
    </cfRule>
    <cfRule type="cellIs" dxfId="2993" priority="2355" operator="equal">
      <formula>"TV-pagina"</formula>
    </cfRule>
    <cfRule type="cellIs" dxfId="2992" priority="2356" operator="equal">
      <formula>"Tuinklussen"</formula>
    </cfRule>
    <cfRule type="cellIs" dxfId="2991" priority="2357" operator="equal">
      <formula>"Inspiratie"</formula>
    </cfRule>
  </conditionalFormatting>
  <conditionalFormatting sqref="R219 F219 AD219">
    <cfRule type="cellIs" dxfId="2990" priority="2315" operator="equal">
      <formula>"Moestuin"</formula>
    </cfRule>
    <cfRule type="cellIs" dxfId="2989" priority="2316" operator="equal">
      <formula>"Hub"</formula>
    </cfRule>
    <cfRule type="cellIs" dxfId="2988" priority="2317" operator="equal">
      <formula>"Snoeien"</formula>
    </cfRule>
    <cfRule type="cellIs" dxfId="2987" priority="2318" operator="equal">
      <formula>"Biodiversiteit"</formula>
    </cfRule>
    <cfRule type="cellIs" dxfId="2986" priority="2319" operator="equal">
      <formula>"Kamerplanten"</formula>
    </cfRule>
    <cfRule type="cellIs" dxfId="2985" priority="2320" operator="equal">
      <formula>"RERUN"</formula>
    </cfRule>
    <cfRule type="cellIs" dxfId="2984" priority="2321" operator="equal">
      <formula>"Kweken"</formula>
    </cfRule>
    <cfRule type="cellIs" dxfId="2983" priority="2322" operator="equal">
      <formula>"Partnerbijdrage"</formula>
    </cfRule>
    <cfRule type="cellIs" dxfId="2982" priority="2323" operator="equal">
      <formula>"TV-pagina"</formula>
    </cfRule>
    <cfRule type="cellIs" dxfId="2981" priority="2324" operator="equal">
      <formula>"Tuinklussen"</formula>
    </cfRule>
    <cfRule type="cellIs" dxfId="2980" priority="2325" operator="equal">
      <formula>"Inspiratie"</formula>
    </cfRule>
  </conditionalFormatting>
  <conditionalFormatting sqref="R227 F227 AD227">
    <cfRule type="cellIs" dxfId="2979" priority="2284" operator="equal">
      <formula>"Moestuin"</formula>
    </cfRule>
    <cfRule type="cellIs" dxfId="2978" priority="2285" operator="equal">
      <formula>"Hub"</formula>
    </cfRule>
    <cfRule type="cellIs" dxfId="2977" priority="2286" operator="equal">
      <formula>"Snoeien"</formula>
    </cfRule>
    <cfRule type="cellIs" dxfId="2976" priority="2287" operator="equal">
      <formula>"Biodiversiteit"</formula>
    </cfRule>
    <cfRule type="cellIs" dxfId="2975" priority="2288" operator="equal">
      <formula>"Kamerplanten"</formula>
    </cfRule>
    <cfRule type="cellIs" dxfId="2974" priority="2289" operator="equal">
      <formula>"RERUN"</formula>
    </cfRule>
    <cfRule type="cellIs" dxfId="2973" priority="2290" operator="equal">
      <formula>"Kweken"</formula>
    </cfRule>
    <cfRule type="cellIs" dxfId="2972" priority="2291" operator="equal">
      <formula>"Partnerbijdrage"</formula>
    </cfRule>
    <cfRule type="cellIs" dxfId="2971" priority="2292" operator="equal">
      <formula>"TV-pagina"</formula>
    </cfRule>
    <cfRule type="cellIs" dxfId="2970" priority="2293" operator="equal">
      <formula>"Tuinklussen"</formula>
    </cfRule>
    <cfRule type="cellIs" dxfId="2969" priority="2294" operator="equal">
      <formula>"Inspiratie"</formula>
    </cfRule>
  </conditionalFormatting>
  <conditionalFormatting sqref="R235 F235 AD235">
    <cfRule type="cellIs" dxfId="2968" priority="2252" operator="equal">
      <formula>"Moestuin"</formula>
    </cfRule>
    <cfRule type="cellIs" dxfId="2967" priority="2253" operator="equal">
      <formula>"Hub"</formula>
    </cfRule>
    <cfRule type="cellIs" dxfId="2966" priority="2254" operator="equal">
      <formula>"Snoeien"</formula>
    </cfRule>
    <cfRule type="cellIs" dxfId="2965" priority="2255" operator="equal">
      <formula>"Biodiversiteit"</formula>
    </cfRule>
    <cfRule type="cellIs" dxfId="2964" priority="2256" operator="equal">
      <formula>"Kamerplanten"</formula>
    </cfRule>
    <cfRule type="cellIs" dxfId="2963" priority="2257" operator="equal">
      <formula>"RERUN"</formula>
    </cfRule>
    <cfRule type="cellIs" dxfId="2962" priority="2258" operator="equal">
      <formula>"Kweken"</formula>
    </cfRule>
    <cfRule type="cellIs" dxfId="2961" priority="2259" operator="equal">
      <formula>"Partnerbijdrage"</formula>
    </cfRule>
    <cfRule type="cellIs" dxfId="2960" priority="2260" operator="equal">
      <formula>"TV-pagina"</formula>
    </cfRule>
    <cfRule type="cellIs" dxfId="2959" priority="2261" operator="equal">
      <formula>"Tuinklussen"</formula>
    </cfRule>
    <cfRule type="cellIs" dxfId="2958" priority="2262" operator="equal">
      <formula>"Inspiratie"</formula>
    </cfRule>
  </conditionalFormatting>
  <conditionalFormatting sqref="R243 F243 AD243">
    <cfRule type="cellIs" dxfId="2957" priority="2221" operator="equal">
      <formula>"Moestuin"</formula>
    </cfRule>
    <cfRule type="cellIs" dxfId="2956" priority="2222" operator="equal">
      <formula>"Hub"</formula>
    </cfRule>
    <cfRule type="cellIs" dxfId="2955" priority="2223" operator="equal">
      <formula>"Snoeien"</formula>
    </cfRule>
    <cfRule type="cellIs" dxfId="2954" priority="2224" operator="equal">
      <formula>"Biodiversiteit"</formula>
    </cfRule>
    <cfRule type="cellIs" dxfId="2953" priority="2225" operator="equal">
      <formula>"Kamerplanten"</formula>
    </cfRule>
    <cfRule type="cellIs" dxfId="2952" priority="2226" operator="equal">
      <formula>"RERUN"</formula>
    </cfRule>
    <cfRule type="cellIs" dxfId="2951" priority="2227" operator="equal">
      <formula>"Kweken"</formula>
    </cfRule>
    <cfRule type="cellIs" dxfId="2950" priority="2228" operator="equal">
      <formula>"Partnerbijdrage"</formula>
    </cfRule>
    <cfRule type="cellIs" dxfId="2949" priority="2229" operator="equal">
      <formula>"TV-pagina"</formula>
    </cfRule>
    <cfRule type="cellIs" dxfId="2948" priority="2230" operator="equal">
      <formula>"Tuinklussen"</formula>
    </cfRule>
    <cfRule type="cellIs" dxfId="2947" priority="2231" operator="equal">
      <formula>"Inspiratie"</formula>
    </cfRule>
  </conditionalFormatting>
  <conditionalFormatting sqref="R251 F251 AD251">
    <cfRule type="cellIs" dxfId="2946" priority="2188" operator="equal">
      <formula>"Moestuin"</formula>
    </cfRule>
    <cfRule type="cellIs" dxfId="2945" priority="2189" operator="equal">
      <formula>"Hub"</formula>
    </cfRule>
    <cfRule type="cellIs" dxfId="2944" priority="2190" operator="equal">
      <formula>"Snoeien"</formula>
    </cfRule>
    <cfRule type="cellIs" dxfId="2943" priority="2191" operator="equal">
      <formula>"Biodiversiteit"</formula>
    </cfRule>
    <cfRule type="cellIs" dxfId="2942" priority="2192" operator="equal">
      <formula>"Kamerplanten"</formula>
    </cfRule>
    <cfRule type="cellIs" dxfId="2941" priority="2193" operator="equal">
      <formula>"RERUN"</formula>
    </cfRule>
    <cfRule type="cellIs" dxfId="2940" priority="2194" operator="equal">
      <formula>"Kweken"</formula>
    </cfRule>
    <cfRule type="cellIs" dxfId="2939" priority="2195" operator="equal">
      <formula>"Partnerbijdrage"</formula>
    </cfRule>
    <cfRule type="cellIs" dxfId="2938" priority="2196" operator="equal">
      <formula>"TV-pagina"</formula>
    </cfRule>
    <cfRule type="cellIs" dxfId="2937" priority="2197" operator="equal">
      <formula>"Tuinklussen"</formula>
    </cfRule>
    <cfRule type="cellIs" dxfId="2936" priority="2198" operator="equal">
      <formula>"Inspiratie"</formula>
    </cfRule>
  </conditionalFormatting>
  <conditionalFormatting sqref="R259 F259 AD259">
    <cfRule type="cellIs" dxfId="2935" priority="2156" operator="equal">
      <formula>"Moestuin"</formula>
    </cfRule>
    <cfRule type="cellIs" dxfId="2934" priority="2157" operator="equal">
      <formula>"Hub"</formula>
    </cfRule>
    <cfRule type="cellIs" dxfId="2933" priority="2158" operator="equal">
      <formula>"Snoeien"</formula>
    </cfRule>
    <cfRule type="cellIs" dxfId="2932" priority="2159" operator="equal">
      <formula>"Biodiversiteit"</formula>
    </cfRule>
    <cfRule type="cellIs" dxfId="2931" priority="2160" operator="equal">
      <formula>"Kamerplanten"</formula>
    </cfRule>
    <cfRule type="cellIs" dxfId="2930" priority="2161" operator="equal">
      <formula>"RERUN"</formula>
    </cfRule>
    <cfRule type="cellIs" dxfId="2929" priority="2162" operator="equal">
      <formula>"Kweken"</formula>
    </cfRule>
    <cfRule type="cellIs" dxfId="2928" priority="2163" operator="equal">
      <formula>"Partnerbijdrage"</formula>
    </cfRule>
    <cfRule type="cellIs" dxfId="2927" priority="2164" operator="equal">
      <formula>"TV-pagina"</formula>
    </cfRule>
    <cfRule type="cellIs" dxfId="2926" priority="2165" operator="equal">
      <formula>"Tuinklussen"</formula>
    </cfRule>
    <cfRule type="cellIs" dxfId="2925" priority="2166" operator="equal">
      <formula>"Inspiratie"</formula>
    </cfRule>
  </conditionalFormatting>
  <conditionalFormatting sqref="R267 F267 AD267">
    <cfRule type="cellIs" dxfId="2924" priority="2124" operator="equal">
      <formula>"Moestuin"</formula>
    </cfRule>
    <cfRule type="cellIs" dxfId="2923" priority="2125" operator="equal">
      <formula>"Hub"</formula>
    </cfRule>
    <cfRule type="cellIs" dxfId="2922" priority="2126" operator="equal">
      <formula>"Snoeien"</formula>
    </cfRule>
    <cfRule type="cellIs" dxfId="2921" priority="2127" operator="equal">
      <formula>"Biodiversiteit"</formula>
    </cfRule>
    <cfRule type="cellIs" dxfId="2920" priority="2128" operator="equal">
      <formula>"Kamerplanten"</formula>
    </cfRule>
    <cfRule type="cellIs" dxfId="2919" priority="2129" operator="equal">
      <formula>"RERUN"</formula>
    </cfRule>
    <cfRule type="cellIs" dxfId="2918" priority="2130" operator="equal">
      <formula>"Kweken"</formula>
    </cfRule>
    <cfRule type="cellIs" dxfId="2917" priority="2131" operator="equal">
      <formula>"Partnerbijdrage"</formula>
    </cfRule>
    <cfRule type="cellIs" dxfId="2916" priority="2132" operator="equal">
      <formula>"TV-pagina"</formula>
    </cfRule>
    <cfRule type="cellIs" dxfId="2915" priority="2133" operator="equal">
      <formula>"Tuinklussen"</formula>
    </cfRule>
    <cfRule type="cellIs" dxfId="2914" priority="2134" operator="equal">
      <formula>"Inspiratie"</formula>
    </cfRule>
  </conditionalFormatting>
  <conditionalFormatting sqref="R275 F275 AD275">
    <cfRule type="cellIs" dxfId="2913" priority="2093" operator="equal">
      <formula>"Moestuin"</formula>
    </cfRule>
    <cfRule type="cellIs" dxfId="2912" priority="2094" operator="equal">
      <formula>"Hub"</formula>
    </cfRule>
    <cfRule type="cellIs" dxfId="2911" priority="2095" operator="equal">
      <formula>"Snoeien"</formula>
    </cfRule>
    <cfRule type="cellIs" dxfId="2910" priority="2096" operator="equal">
      <formula>"Biodiversiteit"</formula>
    </cfRule>
    <cfRule type="cellIs" dxfId="2909" priority="2097" operator="equal">
      <formula>"Kamerplanten"</formula>
    </cfRule>
    <cfRule type="cellIs" dxfId="2908" priority="2098" operator="equal">
      <formula>"RERUN"</formula>
    </cfRule>
    <cfRule type="cellIs" dxfId="2907" priority="2099" operator="equal">
      <formula>"Kweken"</formula>
    </cfRule>
    <cfRule type="cellIs" dxfId="2906" priority="2100" operator="equal">
      <formula>"Partnerbijdrage"</formula>
    </cfRule>
    <cfRule type="cellIs" dxfId="2905" priority="2101" operator="equal">
      <formula>"TV-pagina"</formula>
    </cfRule>
    <cfRule type="cellIs" dxfId="2904" priority="2102" operator="equal">
      <formula>"Tuinklussen"</formula>
    </cfRule>
    <cfRule type="cellIs" dxfId="2903" priority="2103" operator="equal">
      <formula>"Inspiratie"</formula>
    </cfRule>
  </conditionalFormatting>
  <conditionalFormatting sqref="R283 F283 AD283">
    <cfRule type="cellIs" dxfId="2902" priority="2063" operator="equal">
      <formula>"Moestuin"</formula>
    </cfRule>
    <cfRule type="cellIs" dxfId="2901" priority="2064" operator="equal">
      <formula>"Hub"</formula>
    </cfRule>
    <cfRule type="cellIs" dxfId="2900" priority="2065" operator="equal">
      <formula>"Snoeien"</formula>
    </cfRule>
    <cfRule type="cellIs" dxfId="2899" priority="2066" operator="equal">
      <formula>"Biodiversiteit"</formula>
    </cfRule>
    <cfRule type="cellIs" dxfId="2898" priority="2067" operator="equal">
      <formula>"Kamerplanten"</formula>
    </cfRule>
    <cfRule type="cellIs" dxfId="2897" priority="2068" operator="equal">
      <formula>"RERUN"</formula>
    </cfRule>
    <cfRule type="cellIs" dxfId="2896" priority="2069" operator="equal">
      <formula>"Kweken"</formula>
    </cfRule>
    <cfRule type="cellIs" dxfId="2895" priority="2070" operator="equal">
      <formula>"Partnerbijdrage"</formula>
    </cfRule>
    <cfRule type="cellIs" dxfId="2894" priority="2071" operator="equal">
      <formula>"TV-pagina"</formula>
    </cfRule>
    <cfRule type="cellIs" dxfId="2893" priority="2072" operator="equal">
      <formula>"Tuinklussen"</formula>
    </cfRule>
    <cfRule type="cellIs" dxfId="2892" priority="2073" operator="equal">
      <formula>"Inspiratie"</formula>
    </cfRule>
  </conditionalFormatting>
  <conditionalFormatting sqref="R291 F291 AD291">
    <cfRule type="cellIs" dxfId="2891" priority="2034" operator="equal">
      <formula>"Moestuin"</formula>
    </cfRule>
    <cfRule type="cellIs" dxfId="2890" priority="2035" operator="equal">
      <formula>"Hub"</formula>
    </cfRule>
    <cfRule type="cellIs" dxfId="2889" priority="2036" operator="equal">
      <formula>"Snoeien"</formula>
    </cfRule>
    <cfRule type="cellIs" dxfId="2888" priority="2037" operator="equal">
      <formula>"Biodiversiteit"</formula>
    </cfRule>
    <cfRule type="cellIs" dxfId="2887" priority="2038" operator="equal">
      <formula>"Kamerplanten"</formula>
    </cfRule>
    <cfRule type="cellIs" dxfId="2886" priority="2039" operator="equal">
      <formula>"RERUN"</formula>
    </cfRule>
    <cfRule type="cellIs" dxfId="2885" priority="2040" operator="equal">
      <formula>"Kweken"</formula>
    </cfRule>
    <cfRule type="cellIs" dxfId="2884" priority="2041" operator="equal">
      <formula>"Partnerbijdrage"</formula>
    </cfRule>
    <cfRule type="cellIs" dxfId="2883" priority="2042" operator="equal">
      <formula>"TV-pagina"</formula>
    </cfRule>
    <cfRule type="cellIs" dxfId="2882" priority="2043" operator="equal">
      <formula>"Tuinklussen"</formula>
    </cfRule>
    <cfRule type="cellIs" dxfId="2881" priority="2044" operator="equal">
      <formula>"Inspiratie"</formula>
    </cfRule>
  </conditionalFormatting>
  <conditionalFormatting sqref="R299 F299 AD299">
    <cfRule type="cellIs" dxfId="2880" priority="2002" operator="equal">
      <formula>"Moestuin"</formula>
    </cfRule>
    <cfRule type="cellIs" dxfId="2879" priority="2003" operator="equal">
      <formula>"Hub"</formula>
    </cfRule>
    <cfRule type="cellIs" dxfId="2878" priority="2004" operator="equal">
      <formula>"Snoeien"</formula>
    </cfRule>
    <cfRule type="cellIs" dxfId="2877" priority="2005" operator="equal">
      <formula>"Biodiversiteit"</formula>
    </cfRule>
    <cfRule type="cellIs" dxfId="2876" priority="2006" operator="equal">
      <formula>"Kamerplanten"</formula>
    </cfRule>
    <cfRule type="cellIs" dxfId="2875" priority="2007" operator="equal">
      <formula>"RERUN"</formula>
    </cfRule>
    <cfRule type="cellIs" dxfId="2874" priority="2008" operator="equal">
      <formula>"Kweken"</formula>
    </cfRule>
    <cfRule type="cellIs" dxfId="2873" priority="2009" operator="equal">
      <formula>"Partnerbijdrage"</formula>
    </cfRule>
    <cfRule type="cellIs" dxfId="2872" priority="2010" operator="equal">
      <formula>"TV-pagina"</formula>
    </cfRule>
    <cfRule type="cellIs" dxfId="2871" priority="2011" operator="equal">
      <formula>"Tuinklussen"</formula>
    </cfRule>
    <cfRule type="cellIs" dxfId="2870" priority="2012" operator="equal">
      <formula>"Inspiratie"</formula>
    </cfRule>
  </conditionalFormatting>
  <conditionalFormatting sqref="R307 F307 AD307">
    <cfRule type="cellIs" dxfId="2869" priority="1971" operator="equal">
      <formula>"Moestuin"</formula>
    </cfRule>
    <cfRule type="cellIs" dxfId="2868" priority="1972" operator="equal">
      <formula>"Hub"</formula>
    </cfRule>
    <cfRule type="cellIs" dxfId="2867" priority="1973" operator="equal">
      <formula>"Snoeien"</formula>
    </cfRule>
    <cfRule type="cellIs" dxfId="2866" priority="1974" operator="equal">
      <formula>"Biodiversiteit"</formula>
    </cfRule>
    <cfRule type="cellIs" dxfId="2865" priority="1975" operator="equal">
      <formula>"Kamerplanten"</formula>
    </cfRule>
    <cfRule type="cellIs" dxfId="2864" priority="1976" operator="equal">
      <formula>"RERUN"</formula>
    </cfRule>
    <cfRule type="cellIs" dxfId="2863" priority="1977" operator="equal">
      <formula>"Kweken"</formula>
    </cfRule>
    <cfRule type="cellIs" dxfId="2862" priority="1978" operator="equal">
      <formula>"Partnerbijdrage"</formula>
    </cfRule>
    <cfRule type="cellIs" dxfId="2861" priority="1979" operator="equal">
      <formula>"TV-pagina"</formula>
    </cfRule>
    <cfRule type="cellIs" dxfId="2860" priority="1980" operator="equal">
      <formula>"Tuinklussen"</formula>
    </cfRule>
    <cfRule type="cellIs" dxfId="2859" priority="1981" operator="equal">
      <formula>"Inspiratie"</formula>
    </cfRule>
  </conditionalFormatting>
  <conditionalFormatting sqref="R315 F315 AD315">
    <cfRule type="cellIs" dxfId="2858" priority="1939" operator="equal">
      <formula>"Moestuin"</formula>
    </cfRule>
    <cfRule type="cellIs" dxfId="2857" priority="1940" operator="equal">
      <formula>"Hub"</formula>
    </cfRule>
    <cfRule type="cellIs" dxfId="2856" priority="1941" operator="equal">
      <formula>"Snoeien"</formula>
    </cfRule>
    <cfRule type="cellIs" dxfId="2855" priority="1942" operator="equal">
      <formula>"Biodiversiteit"</formula>
    </cfRule>
    <cfRule type="cellIs" dxfId="2854" priority="1943" operator="equal">
      <formula>"Kamerplanten"</formula>
    </cfRule>
    <cfRule type="cellIs" dxfId="2853" priority="1944" operator="equal">
      <formula>"RERUN"</formula>
    </cfRule>
    <cfRule type="cellIs" dxfId="2852" priority="1945" operator="equal">
      <formula>"Kweken"</formula>
    </cfRule>
    <cfRule type="cellIs" dxfId="2851" priority="1946" operator="equal">
      <formula>"Partnerbijdrage"</formula>
    </cfRule>
    <cfRule type="cellIs" dxfId="2850" priority="1947" operator="equal">
      <formula>"TV-pagina"</formula>
    </cfRule>
    <cfRule type="cellIs" dxfId="2849" priority="1948" operator="equal">
      <formula>"Tuinklussen"</formula>
    </cfRule>
    <cfRule type="cellIs" dxfId="2848" priority="1949" operator="equal">
      <formula>"Inspiratie"</formula>
    </cfRule>
  </conditionalFormatting>
  <conditionalFormatting sqref="R323 F323 AD323">
    <cfRule type="cellIs" dxfId="2847" priority="1908" operator="equal">
      <formula>"Moestuin"</formula>
    </cfRule>
    <cfRule type="cellIs" dxfId="2846" priority="1909" operator="equal">
      <formula>"Hub"</formula>
    </cfRule>
    <cfRule type="cellIs" dxfId="2845" priority="1910" operator="equal">
      <formula>"Snoeien"</formula>
    </cfRule>
    <cfRule type="cellIs" dxfId="2844" priority="1911" operator="equal">
      <formula>"Biodiversiteit"</formula>
    </cfRule>
    <cfRule type="cellIs" dxfId="2843" priority="1912" operator="equal">
      <formula>"Kamerplanten"</formula>
    </cfRule>
    <cfRule type="cellIs" dxfId="2842" priority="1913" operator="equal">
      <formula>"RERUN"</formula>
    </cfRule>
    <cfRule type="cellIs" dxfId="2841" priority="1914" operator="equal">
      <formula>"Kweken"</formula>
    </cfRule>
    <cfRule type="cellIs" dxfId="2840" priority="1915" operator="equal">
      <formula>"Partnerbijdrage"</formula>
    </cfRule>
    <cfRule type="cellIs" dxfId="2839" priority="1916" operator="equal">
      <formula>"TV-pagina"</formula>
    </cfRule>
    <cfRule type="cellIs" dxfId="2838" priority="1917" operator="equal">
      <formula>"Tuinklussen"</formula>
    </cfRule>
    <cfRule type="cellIs" dxfId="2837" priority="1918" operator="equal">
      <formula>"Inspiratie"</formula>
    </cfRule>
  </conditionalFormatting>
  <conditionalFormatting sqref="R331 F331 AD331">
    <cfRule type="cellIs" dxfId="2836" priority="1876" operator="equal">
      <formula>"Moestuin"</formula>
    </cfRule>
    <cfRule type="cellIs" dxfId="2835" priority="1877" operator="equal">
      <formula>"Hub"</formula>
    </cfRule>
    <cfRule type="cellIs" dxfId="2834" priority="1878" operator="equal">
      <formula>"Snoeien"</formula>
    </cfRule>
    <cfRule type="cellIs" dxfId="2833" priority="1879" operator="equal">
      <formula>"Biodiversiteit"</formula>
    </cfRule>
    <cfRule type="cellIs" dxfId="2832" priority="1880" operator="equal">
      <formula>"Kamerplanten"</formula>
    </cfRule>
    <cfRule type="cellIs" dxfId="2831" priority="1881" operator="equal">
      <formula>"RERUN"</formula>
    </cfRule>
    <cfRule type="cellIs" dxfId="2830" priority="1882" operator="equal">
      <formula>"Kweken"</formula>
    </cfRule>
    <cfRule type="cellIs" dxfId="2829" priority="1883" operator="equal">
      <formula>"Partnerbijdrage"</formula>
    </cfRule>
    <cfRule type="cellIs" dxfId="2828" priority="1884" operator="equal">
      <formula>"TV-pagina"</formula>
    </cfRule>
    <cfRule type="cellIs" dxfId="2827" priority="1885" operator="equal">
      <formula>"Tuinklussen"</formula>
    </cfRule>
    <cfRule type="cellIs" dxfId="2826" priority="1886" operator="equal">
      <formula>"Inspiratie"</formula>
    </cfRule>
  </conditionalFormatting>
  <conditionalFormatting sqref="R339 F339 AD339">
    <cfRule type="cellIs" dxfId="2825" priority="1845" operator="equal">
      <formula>"Moestuin"</formula>
    </cfRule>
    <cfRule type="cellIs" dxfId="2824" priority="1846" operator="equal">
      <formula>"Hub"</formula>
    </cfRule>
    <cfRule type="cellIs" dxfId="2823" priority="1847" operator="equal">
      <formula>"Snoeien"</formula>
    </cfRule>
    <cfRule type="cellIs" dxfId="2822" priority="1848" operator="equal">
      <formula>"Biodiversiteit"</formula>
    </cfRule>
    <cfRule type="cellIs" dxfId="2821" priority="1849" operator="equal">
      <formula>"Kamerplanten"</formula>
    </cfRule>
    <cfRule type="cellIs" dxfId="2820" priority="1850" operator="equal">
      <formula>"RERUN"</formula>
    </cfRule>
    <cfRule type="cellIs" dxfId="2819" priority="1851" operator="equal">
      <formula>"Kweken"</formula>
    </cfRule>
    <cfRule type="cellIs" dxfId="2818" priority="1852" operator="equal">
      <formula>"Partnerbijdrage"</formula>
    </cfRule>
    <cfRule type="cellIs" dxfId="2817" priority="1853" operator="equal">
      <formula>"TV-pagina"</formula>
    </cfRule>
    <cfRule type="cellIs" dxfId="2816" priority="1854" operator="equal">
      <formula>"Tuinklussen"</formula>
    </cfRule>
    <cfRule type="cellIs" dxfId="2815" priority="1855" operator="equal">
      <formula>"Inspiratie"</formula>
    </cfRule>
  </conditionalFormatting>
  <conditionalFormatting sqref="R347 F347 AD347">
    <cfRule type="cellIs" dxfId="2814" priority="1813" operator="equal">
      <formula>"Moestuin"</formula>
    </cfRule>
    <cfRule type="cellIs" dxfId="2813" priority="1814" operator="equal">
      <formula>"Hub"</formula>
    </cfRule>
    <cfRule type="cellIs" dxfId="2812" priority="1815" operator="equal">
      <formula>"Snoeien"</formula>
    </cfRule>
    <cfRule type="cellIs" dxfId="2811" priority="1816" operator="equal">
      <formula>"Biodiversiteit"</formula>
    </cfRule>
    <cfRule type="cellIs" dxfId="2810" priority="1817" operator="equal">
      <formula>"Kamerplanten"</formula>
    </cfRule>
    <cfRule type="cellIs" dxfId="2809" priority="1818" operator="equal">
      <formula>"RERUN"</formula>
    </cfRule>
    <cfRule type="cellIs" dxfId="2808" priority="1819" operator="equal">
      <formula>"Kweken"</formula>
    </cfRule>
    <cfRule type="cellIs" dxfId="2807" priority="1820" operator="equal">
      <formula>"Partnerbijdrage"</formula>
    </cfRule>
    <cfRule type="cellIs" dxfId="2806" priority="1821" operator="equal">
      <formula>"TV-pagina"</formula>
    </cfRule>
    <cfRule type="cellIs" dxfId="2805" priority="1822" operator="equal">
      <formula>"Tuinklussen"</formula>
    </cfRule>
    <cfRule type="cellIs" dxfId="2804" priority="1823" operator="equal">
      <formula>"Inspiratie"</formula>
    </cfRule>
  </conditionalFormatting>
  <conditionalFormatting sqref="R355 F355 AD355">
    <cfRule type="cellIs" dxfId="2803" priority="1781" operator="equal">
      <formula>"Moestuin"</formula>
    </cfRule>
    <cfRule type="cellIs" dxfId="2802" priority="1782" operator="equal">
      <formula>"Hub"</formula>
    </cfRule>
    <cfRule type="cellIs" dxfId="2801" priority="1783" operator="equal">
      <formula>"Snoeien"</formula>
    </cfRule>
    <cfRule type="cellIs" dxfId="2800" priority="1784" operator="equal">
      <formula>"Biodiversiteit"</formula>
    </cfRule>
    <cfRule type="cellIs" dxfId="2799" priority="1785" operator="equal">
      <formula>"Kamerplanten"</formula>
    </cfRule>
    <cfRule type="cellIs" dxfId="2798" priority="1786" operator="equal">
      <formula>"RERUN"</formula>
    </cfRule>
    <cfRule type="cellIs" dxfId="2797" priority="1787" operator="equal">
      <formula>"Kweken"</formula>
    </cfRule>
    <cfRule type="cellIs" dxfId="2796" priority="1788" operator="equal">
      <formula>"Partnerbijdrage"</formula>
    </cfRule>
    <cfRule type="cellIs" dxfId="2795" priority="1789" operator="equal">
      <formula>"TV-pagina"</formula>
    </cfRule>
    <cfRule type="cellIs" dxfId="2794" priority="1790" operator="equal">
      <formula>"Tuinklussen"</formula>
    </cfRule>
    <cfRule type="cellIs" dxfId="2793" priority="1791" operator="equal">
      <formula>"Inspiratie"</formula>
    </cfRule>
  </conditionalFormatting>
  <conditionalFormatting sqref="R363 F363 AD363">
    <cfRule type="cellIs" dxfId="2792" priority="1749" operator="equal">
      <formula>"Moestuin"</formula>
    </cfRule>
    <cfRule type="cellIs" dxfId="2791" priority="1750" operator="equal">
      <formula>"Hub"</formula>
    </cfRule>
    <cfRule type="cellIs" dxfId="2790" priority="1751" operator="equal">
      <formula>"Snoeien"</formula>
    </cfRule>
    <cfRule type="cellIs" dxfId="2789" priority="1752" operator="equal">
      <formula>"Biodiversiteit"</formula>
    </cfRule>
    <cfRule type="cellIs" dxfId="2788" priority="1753" operator="equal">
      <formula>"Kamerplanten"</formula>
    </cfRule>
    <cfRule type="cellIs" dxfId="2787" priority="1754" operator="equal">
      <formula>"RERUN"</formula>
    </cfRule>
    <cfRule type="cellIs" dxfId="2786" priority="1755" operator="equal">
      <formula>"Kweken"</formula>
    </cfRule>
    <cfRule type="cellIs" dxfId="2785" priority="1756" operator="equal">
      <formula>"Partnerbijdrage"</formula>
    </cfRule>
    <cfRule type="cellIs" dxfId="2784" priority="1757" operator="equal">
      <formula>"TV-pagina"</formula>
    </cfRule>
    <cfRule type="cellIs" dxfId="2783" priority="1758" operator="equal">
      <formula>"Tuinklussen"</formula>
    </cfRule>
    <cfRule type="cellIs" dxfId="2782" priority="1759" operator="equal">
      <formula>"Inspiratie"</formula>
    </cfRule>
  </conditionalFormatting>
  <conditionalFormatting sqref="R371 F371 AD371">
    <cfRule type="cellIs" dxfId="2781" priority="1718" operator="equal">
      <formula>"Moestuin"</formula>
    </cfRule>
    <cfRule type="cellIs" dxfId="2780" priority="1719" operator="equal">
      <formula>"Hub"</formula>
    </cfRule>
    <cfRule type="cellIs" dxfId="2779" priority="1720" operator="equal">
      <formula>"Snoeien"</formula>
    </cfRule>
    <cfRule type="cellIs" dxfId="2778" priority="1721" operator="equal">
      <formula>"Biodiversiteit"</formula>
    </cfRule>
    <cfRule type="cellIs" dxfId="2777" priority="1722" operator="equal">
      <formula>"Kamerplanten"</formula>
    </cfRule>
    <cfRule type="cellIs" dxfId="2776" priority="1723" operator="equal">
      <formula>"RERUN"</formula>
    </cfRule>
    <cfRule type="cellIs" dxfId="2775" priority="1724" operator="equal">
      <formula>"Kweken"</formula>
    </cfRule>
    <cfRule type="cellIs" dxfId="2774" priority="1725" operator="equal">
      <formula>"Partnerbijdrage"</formula>
    </cfRule>
    <cfRule type="cellIs" dxfId="2773" priority="1726" operator="equal">
      <formula>"TV-pagina"</formula>
    </cfRule>
    <cfRule type="cellIs" dxfId="2772" priority="1727" operator="equal">
      <formula>"Tuinklussen"</formula>
    </cfRule>
    <cfRule type="cellIs" dxfId="2771" priority="1728" operator="equal">
      <formula>"Inspiratie"</formula>
    </cfRule>
  </conditionalFormatting>
  <conditionalFormatting sqref="R379 F379 AD379">
    <cfRule type="cellIs" dxfId="2770" priority="1686" operator="equal">
      <formula>"Moestuin"</formula>
    </cfRule>
    <cfRule type="cellIs" dxfId="2769" priority="1687" operator="equal">
      <formula>"Hub"</formula>
    </cfRule>
    <cfRule type="cellIs" dxfId="2768" priority="1688" operator="equal">
      <formula>"Snoeien"</formula>
    </cfRule>
    <cfRule type="cellIs" dxfId="2767" priority="1689" operator="equal">
      <formula>"Biodiversiteit"</formula>
    </cfRule>
    <cfRule type="cellIs" dxfId="2766" priority="1690" operator="equal">
      <formula>"Kamerplanten"</formula>
    </cfRule>
    <cfRule type="cellIs" dxfId="2765" priority="1691" operator="equal">
      <formula>"RERUN"</formula>
    </cfRule>
    <cfRule type="cellIs" dxfId="2764" priority="1692" operator="equal">
      <formula>"Kweken"</formula>
    </cfRule>
    <cfRule type="cellIs" dxfId="2763" priority="1693" operator="equal">
      <formula>"Partnerbijdrage"</formula>
    </cfRule>
    <cfRule type="cellIs" dxfId="2762" priority="1694" operator="equal">
      <formula>"TV-pagina"</formula>
    </cfRule>
    <cfRule type="cellIs" dxfId="2761" priority="1695" operator="equal">
      <formula>"Tuinklussen"</formula>
    </cfRule>
    <cfRule type="cellIs" dxfId="2760" priority="1696" operator="equal">
      <formula>"Inspiratie"</formula>
    </cfRule>
  </conditionalFormatting>
  <conditionalFormatting sqref="R387 F387 AD387">
    <cfRule type="cellIs" dxfId="2759" priority="1656" operator="equal">
      <formula>"Moestuin"</formula>
    </cfRule>
    <cfRule type="cellIs" dxfId="2758" priority="1657" operator="equal">
      <formula>"Hub"</formula>
    </cfRule>
    <cfRule type="cellIs" dxfId="2757" priority="1658" operator="equal">
      <formula>"Snoeien"</formula>
    </cfRule>
    <cfRule type="cellIs" dxfId="2756" priority="1659" operator="equal">
      <formula>"Biodiversiteit"</formula>
    </cfRule>
    <cfRule type="cellIs" dxfId="2755" priority="1660" operator="equal">
      <formula>"Kamerplanten"</formula>
    </cfRule>
    <cfRule type="cellIs" dxfId="2754" priority="1661" operator="equal">
      <formula>"RERUN"</formula>
    </cfRule>
    <cfRule type="cellIs" dxfId="2753" priority="1662" operator="equal">
      <formula>"Kweken"</formula>
    </cfRule>
    <cfRule type="cellIs" dxfId="2752" priority="1663" operator="equal">
      <formula>"Partnerbijdrage"</formula>
    </cfRule>
    <cfRule type="cellIs" dxfId="2751" priority="1664" operator="equal">
      <formula>"TV-pagina"</formula>
    </cfRule>
    <cfRule type="cellIs" dxfId="2750" priority="1665" operator="equal">
      <formula>"Tuinklussen"</formula>
    </cfRule>
    <cfRule type="cellIs" dxfId="2749" priority="1666" operator="equal">
      <formula>"Inspiratie"</formula>
    </cfRule>
  </conditionalFormatting>
  <conditionalFormatting sqref="R395 F395 AD395">
    <cfRule type="cellIs" dxfId="2748" priority="1626" operator="equal">
      <formula>"Moestuin"</formula>
    </cfRule>
    <cfRule type="cellIs" dxfId="2747" priority="1627" operator="equal">
      <formula>"Hub"</formula>
    </cfRule>
    <cfRule type="cellIs" dxfId="2746" priority="1628" operator="equal">
      <formula>"Snoeien"</formula>
    </cfRule>
    <cfRule type="cellIs" dxfId="2745" priority="1629" operator="equal">
      <formula>"Biodiversiteit"</formula>
    </cfRule>
    <cfRule type="cellIs" dxfId="2744" priority="1630" operator="equal">
      <formula>"Kamerplanten"</formula>
    </cfRule>
    <cfRule type="cellIs" dxfId="2743" priority="1631" operator="equal">
      <formula>"RERUN"</formula>
    </cfRule>
    <cfRule type="cellIs" dxfId="2742" priority="1632" operator="equal">
      <formula>"Kweken"</formula>
    </cfRule>
    <cfRule type="cellIs" dxfId="2741" priority="1633" operator="equal">
      <formula>"Partnerbijdrage"</formula>
    </cfRule>
    <cfRule type="cellIs" dxfId="2740" priority="1634" operator="equal">
      <formula>"TV-pagina"</formula>
    </cfRule>
    <cfRule type="cellIs" dxfId="2739" priority="1635" operator="equal">
      <formula>"Tuinklussen"</formula>
    </cfRule>
    <cfRule type="cellIs" dxfId="2738" priority="1636" operator="equal">
      <formula>"Inspiratie"</formula>
    </cfRule>
  </conditionalFormatting>
  <conditionalFormatting sqref="R403 F403 AD403">
    <cfRule type="cellIs" dxfId="2737" priority="1596" operator="equal">
      <formula>"Moestuin"</formula>
    </cfRule>
    <cfRule type="cellIs" dxfId="2736" priority="1597" operator="equal">
      <formula>"Hub"</formula>
    </cfRule>
    <cfRule type="cellIs" dxfId="2735" priority="1598" operator="equal">
      <formula>"Snoeien"</formula>
    </cfRule>
    <cfRule type="cellIs" dxfId="2734" priority="1599" operator="equal">
      <formula>"Biodiversiteit"</formula>
    </cfRule>
    <cfRule type="cellIs" dxfId="2733" priority="1600" operator="equal">
      <formula>"Kamerplanten"</formula>
    </cfRule>
    <cfRule type="cellIs" dxfId="2732" priority="1601" operator="equal">
      <formula>"RERUN"</formula>
    </cfRule>
    <cfRule type="cellIs" dxfId="2731" priority="1602" operator="equal">
      <formula>"Kweken"</formula>
    </cfRule>
    <cfRule type="cellIs" dxfId="2730" priority="1603" operator="equal">
      <formula>"Partnerbijdrage"</formula>
    </cfRule>
    <cfRule type="cellIs" dxfId="2729" priority="1604" operator="equal">
      <formula>"TV-pagina"</formula>
    </cfRule>
    <cfRule type="cellIs" dxfId="2728" priority="1605" operator="equal">
      <formula>"Tuinklussen"</formula>
    </cfRule>
    <cfRule type="cellIs" dxfId="2727" priority="1606" operator="equal">
      <formula>"Inspiratie"</formula>
    </cfRule>
  </conditionalFormatting>
  <conditionalFormatting sqref="R411 F411 AD411">
    <cfRule type="cellIs" dxfId="2726" priority="1564" operator="equal">
      <formula>"Moestuin"</formula>
    </cfRule>
    <cfRule type="cellIs" dxfId="2725" priority="1565" operator="equal">
      <formula>"Hub"</formula>
    </cfRule>
    <cfRule type="cellIs" dxfId="2724" priority="1566" operator="equal">
      <formula>"Snoeien"</formula>
    </cfRule>
    <cfRule type="cellIs" dxfId="2723" priority="1567" operator="equal">
      <formula>"Biodiversiteit"</formula>
    </cfRule>
    <cfRule type="cellIs" dxfId="2722" priority="1568" operator="equal">
      <formula>"Kamerplanten"</formula>
    </cfRule>
    <cfRule type="cellIs" dxfId="2721" priority="1569" operator="equal">
      <formula>"RERUN"</formula>
    </cfRule>
    <cfRule type="cellIs" dxfId="2720" priority="1570" operator="equal">
      <formula>"Kweken"</formula>
    </cfRule>
    <cfRule type="cellIs" dxfId="2719" priority="1571" operator="equal">
      <formula>"Partnerbijdrage"</formula>
    </cfRule>
    <cfRule type="cellIs" dxfId="2718" priority="1572" operator="equal">
      <formula>"TV-pagina"</formula>
    </cfRule>
    <cfRule type="cellIs" dxfId="2717" priority="1573" operator="equal">
      <formula>"Tuinklussen"</formula>
    </cfRule>
    <cfRule type="cellIs" dxfId="2716" priority="1574" operator="equal">
      <formula>"Inspiratie"</formula>
    </cfRule>
  </conditionalFormatting>
  <conditionalFormatting sqref="R4:T4">
    <cfRule type="cellIs" dxfId="2715" priority="5143" operator="equal">
      <formula>"_"</formula>
    </cfRule>
    <cfRule type="containsText" dxfId="2714" priority="5144" operator="containsText" text="[adv]">
      <formula>NOT(ISERROR(SEARCH("[adv]",R4)))</formula>
    </cfRule>
  </conditionalFormatting>
  <conditionalFormatting sqref="R4:T5">
    <cfRule type="containsText" dxfId="2713" priority="5142" operator="containsText" text="[pluk]">
      <formula>NOT(ISERROR(SEARCH("[pluk]",R4)))</formula>
    </cfRule>
  </conditionalFormatting>
  <conditionalFormatting sqref="R6:T6">
    <cfRule type="containsText" dxfId="2712" priority="3565" operator="containsText" text="[pluk]">
      <formula>NOT(ISERROR(SEARCH("[pluk]",R6)))</formula>
    </cfRule>
    <cfRule type="cellIs" dxfId="2711" priority="3566" operator="equal">
      <formula>"_"</formula>
    </cfRule>
    <cfRule type="containsText" dxfId="2710" priority="3567" operator="containsText" text="[pluk]">
      <formula>NOT(ISERROR(SEARCH("[pluk]",R6)))</formula>
    </cfRule>
    <cfRule type="cellIs" dxfId="2709" priority="3568" operator="equal">
      <formula>"_"</formula>
    </cfRule>
    <cfRule type="containsText" dxfId="2708" priority="3580" operator="containsText" text="[adv]">
      <formula>NOT(ISERROR(SEARCH("[adv]",R6)))</formula>
    </cfRule>
  </conditionalFormatting>
  <conditionalFormatting sqref="R12:T13">
    <cfRule type="cellIs" dxfId="2707" priority="5140" operator="equal">
      <formula>"_"</formula>
    </cfRule>
    <cfRule type="containsText" dxfId="2706" priority="5141" operator="containsText" text="[adv]">
      <formula>NOT(ISERROR(SEARCH("[adv]",R12)))</formula>
    </cfRule>
  </conditionalFormatting>
  <conditionalFormatting sqref="R12:T15">
    <cfRule type="containsText" dxfId="2705" priority="5139" operator="containsText" text="[pluk]">
      <formula>NOT(ISERROR(SEARCH("[pluk]",R12)))</formula>
    </cfRule>
  </conditionalFormatting>
  <conditionalFormatting sqref="R22:T22">
    <cfRule type="containsText" dxfId="2704" priority="3131" operator="containsText" text="[pluk]">
      <formula>NOT(ISERROR(SEARCH("[pluk]",R22)))</formula>
    </cfRule>
  </conditionalFormatting>
  <conditionalFormatting sqref="R28:T28">
    <cfRule type="containsText" dxfId="2703" priority="2809" operator="containsText" text="[pluk]">
      <formula>NOT(ISERROR(SEARCH("[pluk]",R28)))</formula>
    </cfRule>
  </conditionalFormatting>
  <conditionalFormatting sqref="R30:T30">
    <cfRule type="containsText" dxfId="2702" priority="1556" operator="containsText" text="[pluk]">
      <formula>NOT(ISERROR(SEARCH("[pluk]",R30)))</formula>
    </cfRule>
  </conditionalFormatting>
  <conditionalFormatting sqref="R48:T48">
    <cfRule type="containsText" dxfId="2701" priority="1422" operator="containsText" text="[pluk]">
      <formula>NOT(ISERROR(SEARCH("[pluk]",R48)))</formula>
    </cfRule>
  </conditionalFormatting>
  <conditionalFormatting sqref="S5 S14:S15 G176:H176">
    <cfRule type="cellIs" dxfId="2700" priority="7067" operator="equal">
      <formula>"_"</formula>
    </cfRule>
  </conditionalFormatting>
  <conditionalFormatting sqref="S8:S9">
    <cfRule type="containsText" dxfId="2699" priority="7969" operator="containsText" text="[adv]">
      <formula>NOT(ISERROR(SEARCH("[adv]",S8)))</formula>
    </cfRule>
    <cfRule type="containsText" dxfId="2698" priority="7970" operator="containsText" text="[pluk]">
      <formula>NOT(ISERROR(SEARCH("[pluk]",S8)))</formula>
    </cfRule>
    <cfRule type="cellIs" dxfId="2697" priority="7971" operator="equal">
      <formula>"_"</formula>
    </cfRule>
  </conditionalFormatting>
  <conditionalFormatting sqref="S16:S17">
    <cfRule type="containsText" dxfId="2696" priority="3483" operator="containsText" text="[adv]">
      <formula>NOT(ISERROR(SEARCH("[adv]",S16)))</formula>
    </cfRule>
    <cfRule type="containsText" dxfId="2695" priority="3484" operator="containsText" text="[pluk]">
      <formula>NOT(ISERROR(SEARCH("[pluk]",S16)))</formula>
    </cfRule>
    <cfRule type="cellIs" dxfId="2694" priority="3485" operator="equal">
      <formula>"_"</formula>
    </cfRule>
    <cfRule type="containsText" dxfId="2693" priority="3486" operator="containsText" text="[pluk]">
      <formula>NOT(ISERROR(SEARCH("[pluk]",S16)))</formula>
    </cfRule>
    <cfRule type="cellIs" dxfId="2692" priority="3487" operator="equal">
      <formula>"_"</formula>
    </cfRule>
  </conditionalFormatting>
  <conditionalFormatting sqref="S18">
    <cfRule type="containsText" dxfId="2691" priority="3522" operator="containsText" text="[adv]">
      <formula>NOT(ISERROR(SEARCH("[adv]",S18)))</formula>
    </cfRule>
    <cfRule type="containsText" dxfId="2690" priority="3523" operator="containsText" text="[pluk]">
      <formula>NOT(ISERROR(SEARCH("[pluk]",S18)))</formula>
    </cfRule>
    <cfRule type="cellIs" dxfId="2689" priority="3524" operator="equal">
      <formula>"_"</formula>
    </cfRule>
    <cfRule type="containsText" dxfId="2688" priority="3525" operator="containsText" text="[adv]">
      <formula>NOT(ISERROR(SEARCH("[adv]",S18)))</formula>
    </cfRule>
    <cfRule type="containsText" dxfId="2687" priority="3526" operator="containsText" text="[pluk]">
      <formula>NOT(ISERROR(SEARCH("[pluk]",S18)))</formula>
    </cfRule>
    <cfRule type="cellIs" dxfId="2686" priority="3527" operator="equal">
      <formula>"_"</formula>
    </cfRule>
  </conditionalFormatting>
  <conditionalFormatting sqref="S20">
    <cfRule type="cellIs" dxfId="2685" priority="3502" operator="equal">
      <formula>"_"</formula>
    </cfRule>
    <cfRule type="containsText" dxfId="2684" priority="3503" operator="containsText" text="[adv]">
      <formula>NOT(ISERROR(SEARCH("[adv]",S20)))</formula>
    </cfRule>
  </conditionalFormatting>
  <conditionalFormatting sqref="S22">
    <cfRule type="cellIs" dxfId="2683" priority="3132" operator="equal">
      <formula>"_"</formula>
    </cfRule>
    <cfRule type="containsText" dxfId="2682" priority="3133" operator="containsText" text="[adv]">
      <formula>NOT(ISERROR(SEARCH("[adv]",S22)))</formula>
    </cfRule>
  </conditionalFormatting>
  <conditionalFormatting sqref="S28">
    <cfRule type="cellIs" dxfId="2681" priority="2810" operator="equal">
      <formula>"_"</formula>
    </cfRule>
    <cfRule type="containsText" dxfId="2680" priority="2811" operator="containsText" text="[adv]">
      <formula>NOT(ISERROR(SEARCH("[adv]",S28)))</formula>
    </cfRule>
  </conditionalFormatting>
  <conditionalFormatting sqref="S29">
    <cfRule type="containsText" dxfId="2679" priority="2804" operator="containsText" text="[adv]">
      <formula>NOT(ISERROR(SEARCH("[adv]",S29)))</formula>
    </cfRule>
    <cfRule type="containsText" dxfId="2678" priority="2805" operator="containsText" text="[pluk]">
      <formula>NOT(ISERROR(SEARCH("[pluk]",S29)))</formula>
    </cfRule>
    <cfRule type="cellIs" dxfId="2677" priority="2806" operator="equal">
      <formula>"_"</formula>
    </cfRule>
    <cfRule type="containsText" dxfId="2676" priority="2807" operator="containsText" text="[pluk]">
      <formula>NOT(ISERROR(SEARCH("[pluk]",S29)))</formula>
    </cfRule>
    <cfRule type="cellIs" dxfId="2675" priority="2808" operator="equal">
      <formula>"_"</formula>
    </cfRule>
  </conditionalFormatting>
  <conditionalFormatting sqref="S30">
    <cfRule type="cellIs" dxfId="2674" priority="1541" operator="equal">
      <formula>"_"</formula>
    </cfRule>
    <cfRule type="containsText" dxfId="2673" priority="1542" operator="containsText" text="[adv]">
      <formula>NOT(ISERROR(SEARCH("[adv]",S30)))</formula>
    </cfRule>
  </conditionalFormatting>
  <conditionalFormatting sqref="S31">
    <cfRule type="cellIs" dxfId="2672" priority="1506" operator="equal">
      <formula>"_"</formula>
    </cfRule>
    <cfRule type="containsText" dxfId="2671" priority="1507" operator="containsText" text="[adv]">
      <formula>NOT(ISERROR(SEARCH("[adv]",S31)))</formula>
    </cfRule>
  </conditionalFormatting>
  <conditionalFormatting sqref="S45">
    <cfRule type="containsText" dxfId="2670" priority="2782" operator="containsText" text="[pluk]">
      <formula>NOT(ISERROR(SEARCH("[pluk]",S45)))</formula>
    </cfRule>
    <cfRule type="cellIs" dxfId="2669" priority="2783" operator="equal">
      <formula>"_"</formula>
    </cfRule>
  </conditionalFormatting>
  <conditionalFormatting sqref="S48">
    <cfRule type="cellIs" dxfId="2668" priority="1423" operator="equal">
      <formula>"_"</formula>
    </cfRule>
    <cfRule type="containsText" dxfId="2667" priority="1424" operator="containsText" text="[adv]">
      <formula>NOT(ISERROR(SEARCH("[adv]",S48)))</formula>
    </cfRule>
  </conditionalFormatting>
  <conditionalFormatting sqref="S73">
    <cfRule type="cellIs" dxfId="2666" priority="37" operator="equal">
      <formula>"_"</formula>
    </cfRule>
    <cfRule type="containsText" dxfId="2665" priority="38" operator="containsText" text="[pluk]">
      <formula>NOT(ISERROR(SEARCH("[pluk]",S73)))</formula>
    </cfRule>
  </conditionalFormatting>
  <conditionalFormatting sqref="S77">
    <cfRule type="containsText" dxfId="2664" priority="295" operator="containsText" text="[pluk]">
      <formula>NOT(ISERROR(SEARCH("[pluk]",S77)))</formula>
    </cfRule>
    <cfRule type="cellIs" dxfId="2663" priority="296" operator="equal">
      <formula>"_"</formula>
    </cfRule>
    <cfRule type="containsText" dxfId="2662" priority="314" operator="containsText" text="[adv]">
      <formula>NOT(ISERROR(SEARCH("[adv]",S77)))</formula>
    </cfRule>
  </conditionalFormatting>
  <conditionalFormatting sqref="S78">
    <cfRule type="containsText" dxfId="2661" priority="45" operator="containsText" text="[pluk]">
      <formula>NOT(ISERROR(SEARCH("[pluk]",S78)))</formula>
    </cfRule>
    <cfRule type="cellIs" dxfId="2660" priority="46" operator="equal">
      <formula>"_"</formula>
    </cfRule>
    <cfRule type="cellIs" dxfId="2659" priority="47" operator="equal">
      <formula>"Moestuin"</formula>
    </cfRule>
    <cfRule type="cellIs" dxfId="2658" priority="48" operator="equal">
      <formula>"Hub"</formula>
    </cfRule>
    <cfRule type="cellIs" dxfId="2657" priority="49" operator="equal">
      <formula>"Snoeien"</formula>
    </cfRule>
    <cfRule type="cellIs" dxfId="2656" priority="50" operator="equal">
      <formula>"Biodiversiteit"</formula>
    </cfRule>
    <cfRule type="cellIs" dxfId="2655" priority="51" operator="equal">
      <formula>"Kamerplanten"</formula>
    </cfRule>
    <cfRule type="cellIs" dxfId="2654" priority="52" operator="equal">
      <formula>"RERUN"</formula>
    </cfRule>
    <cfRule type="cellIs" dxfId="2653" priority="53" operator="equal">
      <formula>"Kweken"</formula>
    </cfRule>
    <cfRule type="cellIs" dxfId="2652" priority="54" operator="equal">
      <formula>"Partnerbijdrage"</formula>
    </cfRule>
    <cfRule type="cellIs" dxfId="2651" priority="55" operator="equal">
      <formula>"TV-pagina"</formula>
    </cfRule>
    <cfRule type="cellIs" dxfId="2650" priority="56" operator="equal">
      <formula>"Tuinklussen"</formula>
    </cfRule>
    <cfRule type="cellIs" dxfId="2649" priority="57" operator="equal">
      <formula>"Inspiratie"</formula>
    </cfRule>
  </conditionalFormatting>
  <conditionalFormatting sqref="S81 U79:U82">
    <cfRule type="cellIs" dxfId="2648" priority="4875" operator="equal">
      <formula>"_"</formula>
    </cfRule>
  </conditionalFormatting>
  <conditionalFormatting sqref="S81">
    <cfRule type="containsText" dxfId="2647" priority="4858" operator="containsText" text="[adv]">
      <formula>NOT(ISERROR(SEARCH("[adv]",S81)))</formula>
    </cfRule>
  </conditionalFormatting>
  <conditionalFormatting sqref="S85 S95 R75 AD419:AD1048576 R419:R1048576 F419:F1048576 AD3 F3 R3 F11 F38:F39 F55 F59 R5 F13:F15 R12:R15 R19 F19 F71 F75 F63 F47 F43 F21:F23 AD11 AD19 AD27 AD35 AD43 AD51 AD59 AD67 AD75 R67 R59 R51 R43 R35 R27:R28 F51:F52 F67">
    <cfRule type="cellIs" dxfId="2646" priority="7952" operator="equal">
      <formula>"Moestuin"</formula>
    </cfRule>
    <cfRule type="cellIs" dxfId="2645" priority="7953" operator="equal">
      <formula>"Hub"</formula>
    </cfRule>
    <cfRule type="cellIs" dxfId="2644" priority="7954" operator="equal">
      <formula>"Snoeien"</formula>
    </cfRule>
    <cfRule type="cellIs" dxfId="2643" priority="7955" operator="equal">
      <formula>"Biodiversiteit"</formula>
    </cfRule>
    <cfRule type="cellIs" dxfId="2642" priority="7956" operator="equal">
      <formula>"Kamerplanten"</formula>
    </cfRule>
    <cfRule type="cellIs" dxfId="2641" priority="7957" operator="equal">
      <formula>"RERUN"</formula>
    </cfRule>
    <cfRule type="cellIs" dxfId="2640" priority="7958" operator="equal">
      <formula>"Kweken"</formula>
    </cfRule>
    <cfRule type="cellIs" dxfId="2639" priority="7959" operator="equal">
      <formula>"Partnerbijdrage"</formula>
    </cfRule>
    <cfRule type="cellIs" dxfId="2638" priority="7960" operator="equal">
      <formula>"TV-pagina"</formula>
    </cfRule>
    <cfRule type="cellIs" dxfId="2637" priority="7961" operator="equal">
      <formula>"Tuinklussen"</formula>
    </cfRule>
    <cfRule type="cellIs" dxfId="2636" priority="7962" operator="equal">
      <formula>"Inspiratie"</formula>
    </cfRule>
  </conditionalFormatting>
  <conditionalFormatting sqref="S100">
    <cfRule type="containsText" dxfId="2635" priority="8099" operator="containsText" text="[adv]">
      <formula>NOT(ISERROR(SEARCH("[adv]",S100)))</formula>
    </cfRule>
    <cfRule type="containsText" dxfId="2634" priority="8100" operator="containsText" text="[pluk]">
      <formula>NOT(ISERROR(SEARCH("[pluk]",S100)))</formula>
    </cfRule>
    <cfRule type="cellIs" dxfId="2633" priority="8101" operator="equal">
      <formula>"_"</formula>
    </cfRule>
  </conditionalFormatting>
  <conditionalFormatting sqref="S102">
    <cfRule type="containsText" dxfId="2632" priority="7499" operator="containsText" text="[adv]">
      <formula>NOT(ISERROR(SEARCH("[adv]",S102)))</formula>
    </cfRule>
  </conditionalFormatting>
  <conditionalFormatting sqref="S102:S103 Q140:Q146 AC30:AC102 G101:L104 AC104:AC107 H110 G111:L111 E120 G120:L120 Q196:Q201 Q121:Q122 S164:S166">
    <cfRule type="containsText" dxfId="2631" priority="7947" operator="containsText" text="[pluk]">
      <formula>NOT(ISERROR(SEARCH("[pluk]",E30)))</formula>
    </cfRule>
  </conditionalFormatting>
  <conditionalFormatting sqref="S103">
    <cfRule type="containsText" dxfId="2630" priority="7946" operator="containsText" text="[adv]">
      <formula>NOT(ISERROR(SEARCH("[adv]",S103)))</formula>
    </cfRule>
  </conditionalFormatting>
  <conditionalFormatting sqref="S112:S113">
    <cfRule type="containsText" dxfId="2629" priority="8084" operator="containsText" text="[adv]">
      <formula>NOT(ISERROR(SEARCH("[adv]",S112)))</formula>
    </cfRule>
    <cfRule type="containsText" dxfId="2628" priority="8085" operator="containsText" text="[pluk]">
      <formula>NOT(ISERROR(SEARCH("[pluk]",S112)))</formula>
    </cfRule>
    <cfRule type="cellIs" dxfId="2627" priority="8086" operator="equal">
      <formula>"_"</formula>
    </cfRule>
  </conditionalFormatting>
  <conditionalFormatting sqref="S119 S126 U110:U114 P240:Q240 S242 S240 U116:U122 U124:U130 U132:U138 U140:U146 U148:U154 U156:U162 U164:U170 U172:U178 U180:U186 U188:U194 U196:U202 U204:U210 U212:U218 U220:U226 U228:U234 U236:U242 U244:U250 U252:U258 U260:U266 U268:U274 U276:U282 U284:U290 U292:U298 U300:U306 U308:U314 U316:U322 U324:U330 U332:U338 U340:U346 U348:U354 U356:U362 U364:U370 U372:U378 U380:U386">
    <cfRule type="timePeriod" dxfId="2626" priority="8087" timePeriod="thisMonth">
      <formula>AND(MONTH(P110)=MONTH(TODAY()),YEAR(P110)=YEAR(TODAY()))</formula>
    </cfRule>
  </conditionalFormatting>
  <conditionalFormatting sqref="S120 P120:Q120">
    <cfRule type="containsText" dxfId="2625" priority="7495" operator="containsText" text="[pluk]">
      <formula>NOT(ISERROR(SEARCH("[pluk]",P120)))</formula>
    </cfRule>
  </conditionalFormatting>
  <conditionalFormatting sqref="S120">
    <cfRule type="containsText" dxfId="2624" priority="7494" operator="containsText" text="[adv]">
      <formula>NOT(ISERROR(SEARCH("[adv]",S120)))</formula>
    </cfRule>
  </conditionalFormatting>
  <conditionalFormatting sqref="S132">
    <cfRule type="containsText" dxfId="2623" priority="8071" operator="containsText" text="[adv]">
      <formula>NOT(ISERROR(SEARCH("[adv]",S132)))</formula>
    </cfRule>
  </conditionalFormatting>
  <conditionalFormatting sqref="S142:S143">
    <cfRule type="containsText" dxfId="2622" priority="8052" operator="containsText" text="[adv]">
      <formula>NOT(ISERROR(SEARCH("[adv]",S142)))</formula>
    </cfRule>
  </conditionalFormatting>
  <conditionalFormatting sqref="S143">
    <cfRule type="containsText" dxfId="2621" priority="8048" operator="containsText" text="[adv]">
      <formula>NOT(ISERROR(SEARCH("[adv]",S143)))</formula>
    </cfRule>
  </conditionalFormatting>
  <conditionalFormatting sqref="S148">
    <cfRule type="containsText" dxfId="2620" priority="7351" operator="containsText" text="[adv]">
      <formula>NOT(ISERROR(SEARCH("[adv]",S148)))</formula>
    </cfRule>
  </conditionalFormatting>
  <conditionalFormatting sqref="S152">
    <cfRule type="timePeriod" dxfId="2619" priority="7271" timePeriod="thisMonth">
      <formula>AND(MONTH(S152)=MONTH(TODAY()),YEAR(S152)=YEAR(TODAY()))</formula>
    </cfRule>
  </conditionalFormatting>
  <conditionalFormatting sqref="S156">
    <cfRule type="containsText" dxfId="2618" priority="8092" operator="containsText" text="[pluk]">
      <formula>NOT(ISERROR(SEARCH("[pluk]",S156)))</formula>
    </cfRule>
    <cfRule type="cellIs" dxfId="2617" priority="8093" operator="equal">
      <formula>"_"</formula>
    </cfRule>
  </conditionalFormatting>
  <conditionalFormatting sqref="S161">
    <cfRule type="containsText" dxfId="2616" priority="7256" operator="containsText" text="[pluk]">
      <formula>NOT(ISERROR(SEARCH("[pluk]",S161)))</formula>
    </cfRule>
    <cfRule type="cellIs" dxfId="2615" priority="7257" operator="equal">
      <formula>"_"</formula>
    </cfRule>
  </conditionalFormatting>
  <conditionalFormatting sqref="S161:S162">
    <cfRule type="containsText" dxfId="2614" priority="7255" operator="containsText" text="[adv]">
      <formula>NOT(ISERROR(SEARCH("[adv]",S161)))</formula>
    </cfRule>
  </conditionalFormatting>
  <conditionalFormatting sqref="S176">
    <cfRule type="containsText" dxfId="2613" priority="7197" operator="containsText" text="[pluk]">
      <formula>NOT(ISERROR(SEARCH("[pluk]",S176)))</formula>
    </cfRule>
    <cfRule type="cellIs" dxfId="2612" priority="7198" operator="equal">
      <formula>"_"</formula>
    </cfRule>
  </conditionalFormatting>
  <conditionalFormatting sqref="S176:S177">
    <cfRule type="containsText" dxfId="2611" priority="7196" operator="containsText" text="[adv]">
      <formula>NOT(ISERROR(SEARCH("[adv]",S176)))</formula>
    </cfRule>
  </conditionalFormatting>
  <conditionalFormatting sqref="S184">
    <cfRule type="containsText" dxfId="2610" priority="7193" operator="containsText" text="[adv]">
      <formula>NOT(ISERROR(SEARCH("[adv]",S184)))</formula>
    </cfRule>
    <cfRule type="containsText" dxfId="2609" priority="7194" operator="containsText" text="[pluk]">
      <formula>NOT(ISERROR(SEARCH("[pluk]",S184)))</formula>
    </cfRule>
    <cfRule type="cellIs" dxfId="2608" priority="7195" operator="equal">
      <formula>"_"</formula>
    </cfRule>
  </conditionalFormatting>
  <conditionalFormatting sqref="S185">
    <cfRule type="containsText" dxfId="2607" priority="7192" operator="containsText" text="[adv]">
      <formula>NOT(ISERROR(SEARCH("[adv]",S185)))</formula>
    </cfRule>
  </conditionalFormatting>
  <conditionalFormatting sqref="S185:S186">
    <cfRule type="cellIs" dxfId="2606" priority="7039" operator="equal">
      <formula>"_"</formula>
    </cfRule>
  </conditionalFormatting>
  <conditionalFormatting sqref="S188">
    <cfRule type="containsText" dxfId="2605" priority="7037" operator="containsText" text="[pluk]">
      <formula>NOT(ISERROR(SEARCH("[pluk]",S188)))</formula>
    </cfRule>
    <cfRule type="cellIs" dxfId="2604" priority="7038" operator="equal">
      <formula>"_"</formula>
    </cfRule>
  </conditionalFormatting>
  <conditionalFormatting sqref="S188:S189">
    <cfRule type="containsText" dxfId="2603" priority="7035" operator="containsText" text="[adv]">
      <formula>NOT(ISERROR(SEARCH("[adv]",S188)))</formula>
    </cfRule>
  </conditionalFormatting>
  <conditionalFormatting sqref="S189">
    <cfRule type="cellIs" dxfId="2602" priority="7036" operator="equal">
      <formula>"_"</formula>
    </cfRule>
  </conditionalFormatting>
  <conditionalFormatting sqref="S190">
    <cfRule type="cellIs" dxfId="2601" priority="7034" operator="equal">
      <formula>"_"</formula>
    </cfRule>
  </conditionalFormatting>
  <conditionalFormatting sqref="S196">
    <cfRule type="cellIs" dxfId="2600" priority="7018" operator="equal">
      <formula>"_"</formula>
    </cfRule>
  </conditionalFormatting>
  <conditionalFormatting sqref="S201">
    <cfRule type="containsText" dxfId="2599" priority="6859" operator="containsText" text="[pluk]">
      <formula>NOT(ISERROR(SEARCH("[pluk]",S201)))</formula>
    </cfRule>
    <cfRule type="cellIs" dxfId="2598" priority="6860" operator="equal">
      <formula>"_"</formula>
    </cfRule>
    <cfRule type="containsText" dxfId="2597" priority="6895" operator="containsText" text="[adv]">
      <formula>NOT(ISERROR(SEARCH("[adv]",S201)))</formula>
    </cfRule>
  </conditionalFormatting>
  <conditionalFormatting sqref="S201:S202 Q201:Q202 U201:X202 U204:X210 Q204:Q210 S204:S210 S212:S216 Q212:Q216 U212:X216">
    <cfRule type="cellIs" dxfId="2596" priority="6894" operator="equal">
      <formula>"_"</formula>
    </cfRule>
  </conditionalFormatting>
  <conditionalFormatting sqref="S206">
    <cfRule type="cellIs" dxfId="2595" priority="6842" operator="equal">
      <formula>"_"</formula>
    </cfRule>
  </conditionalFormatting>
  <conditionalFormatting sqref="S217">
    <cfRule type="containsText" dxfId="2594" priority="6793" operator="containsText" text="[adv]">
      <formula>NOT(ISERROR(SEARCH("[adv]",S217)))</formula>
    </cfRule>
    <cfRule type="containsText" dxfId="2593" priority="6794" operator="containsText" text="[pluk]">
      <formula>NOT(ISERROR(SEARCH("[pluk]",S217)))</formula>
    </cfRule>
    <cfRule type="containsText" dxfId="2592" priority="6796" operator="containsText" text="[adv]">
      <formula>NOT(ISERROR(SEARCH("[adv]",S217)))</formula>
    </cfRule>
  </conditionalFormatting>
  <conditionalFormatting sqref="S217:S218 Q217:Q218 U217:X218 U220:X226 Q220:Q226 S220:S226 S228:S234 Q228:Q234 U228:X234">
    <cfRule type="cellIs" dxfId="2591" priority="6795" operator="equal">
      <formula>"_"</formula>
    </cfRule>
  </conditionalFormatting>
  <conditionalFormatting sqref="S220">
    <cfRule type="cellIs" dxfId="2590" priority="6778" operator="equal">
      <formula>"_"</formula>
    </cfRule>
  </conditionalFormatting>
  <conditionalFormatting sqref="S220:S226 G232:L232 H229:L231 H228 H220:L220 E228:E234 G261:H261 H262:H266 E252:E258 S236:S242 S260:S266 P236:Q240 Q260:Q266 E260:E266 E284:E290 G276:G282 H278:L282 E268:E274 S292:S298 S300:S303 S316:S322 G284:L290 G294 G295:L298 E300:E306 AE309:AJ314 E308:E314 G326:L328 E324:E330 G332:G338 H319:L320 H317:L317 G364:G370 H365:L366 G396:H396 H382 G385:L386 H398:L402 G388:G394 A3:B67 A69:B82 A83:C86 A88:C135 A137:C171 B173:B176 C180:C186 C196:C202 C204:C210 C212:C218 C244:C250 C260:C266 C276:C282 C284:C290 C300:C306 C308:C314 C316:C322 C332:C338 C340:C346 C348:C354 C364:C370 C372:C378 C380:C386 C388:C394 C404:C410 C412:C420 S23:X24 C3:L3 Z3:AB3 AD3:AJ3 AC3:AC12 C4:E9 I4:L9 N4:O75 C12:C82 U17:X18 R19:X19 S20:X21 U22:X22 A68 N83:O419 A87 C87 A136 C136 AL148:AM154 AL156:AM162 AL164:AM170 A172:A178 C172:C178 AL172:AM178 A179:C179 A180:A186 AL180:AM186 AL188:AM194 A195:D195 A196:A202 AL196:AM202 E201:E202 Q202 S202 U202:X202 A203:C203 A204:A210 U204:X210 AL204:AM210 A211:C211 A212:A218 U212:X218 AL212:AM218 H218:L218 U220:X226 AL220:AM226 G228:G229 U228:X234 AL228:AM234 H233:L234 U236:X242 AL236:AM242 A244:A250 AL244:AM250 A251:D251 U252:X258 AL252:AM258 A259:D259 A260:A266 U260:X266 AL260:AM266 U268:X274 AL268:AM274 A276:A282 U276:X282 AL276:AM282 A283:C283 U284:X290 AL284:AM290 G292:L293 U292:X298 AL292:AM298 I294:L294 AL300:AM306 I301:L301 H302:L306 A307:C307 H308:L309 AL308:AM314 AB309:AC314 H311:L314 A315:C315 I316:L316 E316:E322 U316:X322 AL316:AM322 U324:X330 AL324:AM330 G330 U332:X338 AL332:AM338 A339:C339 AL340:AM346 A347:C347 U348:X354 AL348:AM354 A355:D355 U356:X362 AL356:AM362 U364:X370 AL364:AM370 A371:C371 U372:X378 AL372:AM378 A379:C379 AL380:AM386 A387:C387 AL388:AM394 AL396:AM402 G397:G402 AL404:AM410 A411:C411 AL412:AM420 D420 H420:L420">
    <cfRule type="containsText" dxfId="2589" priority="6679" operator="containsText" text="[pluk]">
      <formula>NOT(ISERROR(SEARCH("[pluk]",A3)))</formula>
    </cfRule>
  </conditionalFormatting>
  <conditionalFormatting sqref="S224">
    <cfRule type="cellIs" dxfId="2588" priority="6678" operator="equal">
      <formula>"_"</formula>
    </cfRule>
  </conditionalFormatting>
  <conditionalFormatting sqref="S241:S242">
    <cfRule type="cellIs" dxfId="2587" priority="6604" operator="equal">
      <formula>"_"</formula>
    </cfRule>
  </conditionalFormatting>
  <conditionalFormatting sqref="S254">
    <cfRule type="timePeriod" dxfId="2586" priority="6571" timePeriod="thisMonth">
      <formula>AND(MONTH(S254)=MONTH(TODAY()),YEAR(S254)=YEAR(TODAY()))</formula>
    </cfRule>
  </conditionalFormatting>
  <conditionalFormatting sqref="S261">
    <cfRule type="cellIs" dxfId="2585" priority="6589" operator="equal">
      <formula>"_"</formula>
    </cfRule>
  </conditionalFormatting>
  <conditionalFormatting sqref="S262">
    <cfRule type="timePeriod" dxfId="2584" priority="6588" timePeriod="thisMonth">
      <formula>AND(MONTH(S262)=MONTH(TODAY()),YEAR(S262)=YEAR(TODAY()))</formula>
    </cfRule>
  </conditionalFormatting>
  <conditionalFormatting sqref="S264">
    <cfRule type="containsText" dxfId="2583" priority="6545" operator="containsText" text="[pluk]">
      <formula>NOT(ISERROR(SEARCH("[pluk]",S264)))</formula>
    </cfRule>
  </conditionalFormatting>
  <conditionalFormatting sqref="S284">
    <cfRule type="cellIs" dxfId="2582" priority="6680" operator="equal">
      <formula>"Moestuin"</formula>
    </cfRule>
    <cfRule type="cellIs" dxfId="2581" priority="6681" operator="equal">
      <formula>"Hub"</formula>
    </cfRule>
    <cfRule type="cellIs" dxfId="2580" priority="6682" operator="equal">
      <formula>"Snoeien"</formula>
    </cfRule>
    <cfRule type="cellIs" dxfId="2579" priority="6683" operator="equal">
      <formula>"Biodiversiteit"</formula>
    </cfRule>
    <cfRule type="cellIs" dxfId="2578" priority="6684" operator="equal">
      <formula>"Kamerplanten"</formula>
    </cfRule>
    <cfRule type="cellIs" dxfId="2577" priority="6685" operator="equal">
      <formula>"RERUN"</formula>
    </cfRule>
    <cfRule type="cellIs" dxfId="2576" priority="6686" operator="equal">
      <formula>"Kweken"</formula>
    </cfRule>
    <cfRule type="cellIs" dxfId="2575" priority="6687" operator="equal">
      <formula>"Partnerbijdrage"</formula>
    </cfRule>
    <cfRule type="cellIs" dxfId="2574" priority="6688" operator="equal">
      <formula>"TV-pagina"</formula>
    </cfRule>
    <cfRule type="cellIs" dxfId="2573" priority="6689" operator="equal">
      <formula>"Tuinklussen"</formula>
    </cfRule>
    <cfRule type="cellIs" dxfId="2572" priority="6690" operator="equal">
      <formula>"Inspiratie"</formula>
    </cfRule>
  </conditionalFormatting>
  <conditionalFormatting sqref="S292">
    <cfRule type="containsText" dxfId="2571" priority="6456" operator="containsText" text="[pluk]">
      <formula>NOT(ISERROR(SEARCH("[pluk]",S292)))</formula>
    </cfRule>
    <cfRule type="cellIs" dxfId="2570" priority="6457" operator="equal">
      <formula>"Moestuin"</formula>
    </cfRule>
    <cfRule type="cellIs" dxfId="2569" priority="6458" operator="equal">
      <formula>"Hub"</formula>
    </cfRule>
    <cfRule type="cellIs" dxfId="2568" priority="6459" operator="equal">
      <formula>"Snoeien"</formula>
    </cfRule>
    <cfRule type="cellIs" dxfId="2567" priority="6460" operator="equal">
      <formula>"Biodiversiteit"</formula>
    </cfRule>
    <cfRule type="cellIs" dxfId="2566" priority="6461" operator="equal">
      <formula>"Kamerplanten"</formula>
    </cfRule>
    <cfRule type="cellIs" dxfId="2565" priority="6462" operator="equal">
      <formula>"RERUN"</formula>
    </cfRule>
    <cfRule type="cellIs" dxfId="2564" priority="6463" operator="equal">
      <formula>"Kweken"</formula>
    </cfRule>
    <cfRule type="cellIs" dxfId="2563" priority="6464" operator="equal">
      <formula>"Partnerbijdrage"</formula>
    </cfRule>
    <cfRule type="cellIs" dxfId="2562" priority="6465" operator="equal">
      <formula>"TV-pagina"</formula>
    </cfRule>
    <cfRule type="cellIs" dxfId="2561" priority="6466" operator="equal">
      <formula>"Tuinklussen"</formula>
    </cfRule>
    <cfRule type="cellIs" dxfId="2560" priority="6467" operator="equal">
      <formula>"Inspiratie"</formula>
    </cfRule>
  </conditionalFormatting>
  <conditionalFormatting sqref="S293">
    <cfRule type="cellIs" dxfId="2559" priority="6357" operator="equal">
      <formula>"_"</formula>
    </cfRule>
  </conditionalFormatting>
  <conditionalFormatting sqref="S300">
    <cfRule type="containsText" dxfId="2558" priority="6444" operator="containsText" text="[pluk]">
      <formula>NOT(ISERROR(SEARCH("[pluk]",S300)))</formula>
    </cfRule>
    <cfRule type="cellIs" dxfId="2557" priority="6445" operator="equal">
      <formula>"Moestuin"</formula>
    </cfRule>
    <cfRule type="cellIs" dxfId="2556" priority="6446" operator="equal">
      <formula>"Hub"</formula>
    </cfRule>
    <cfRule type="cellIs" dxfId="2555" priority="6447" operator="equal">
      <formula>"Snoeien"</formula>
    </cfRule>
    <cfRule type="cellIs" dxfId="2554" priority="6448" operator="equal">
      <formula>"Biodiversiteit"</formula>
    </cfRule>
    <cfRule type="cellIs" dxfId="2553" priority="6449" operator="equal">
      <formula>"Kamerplanten"</formula>
    </cfRule>
    <cfRule type="cellIs" dxfId="2552" priority="6450" operator="equal">
      <formula>"RERUN"</formula>
    </cfRule>
    <cfRule type="cellIs" dxfId="2551" priority="6451" operator="equal">
      <formula>"Kweken"</formula>
    </cfRule>
    <cfRule type="cellIs" dxfId="2550" priority="6452" operator="equal">
      <formula>"Partnerbijdrage"</formula>
    </cfRule>
    <cfRule type="cellIs" dxfId="2549" priority="6453" operator="equal">
      <formula>"TV-pagina"</formula>
    </cfRule>
    <cfRule type="cellIs" dxfId="2548" priority="6454" operator="equal">
      <formula>"Tuinklussen"</formula>
    </cfRule>
    <cfRule type="cellIs" dxfId="2547" priority="6455" operator="equal">
      <formula>"Inspiratie"</formula>
    </cfRule>
  </conditionalFormatting>
  <conditionalFormatting sqref="S308 U308:X314">
    <cfRule type="containsText" dxfId="2546" priority="6273" operator="containsText" text="[pluk]">
      <formula>NOT(ISERROR(SEARCH("[pluk]",S308)))</formula>
    </cfRule>
  </conditionalFormatting>
  <conditionalFormatting sqref="S308">
    <cfRule type="cellIs" dxfId="2545" priority="6432" operator="equal">
      <formula>"Moestuin"</formula>
    </cfRule>
    <cfRule type="cellIs" dxfId="2544" priority="6433" operator="equal">
      <formula>"Hub"</formula>
    </cfRule>
    <cfRule type="cellIs" dxfId="2543" priority="6434" operator="equal">
      <formula>"Snoeien"</formula>
    </cfRule>
    <cfRule type="cellIs" dxfId="2542" priority="6435" operator="equal">
      <formula>"Biodiversiteit"</formula>
    </cfRule>
    <cfRule type="cellIs" dxfId="2541" priority="6436" operator="equal">
      <formula>"Kamerplanten"</formula>
    </cfRule>
    <cfRule type="cellIs" dxfId="2540" priority="6437" operator="equal">
      <formula>"RERUN"</formula>
    </cfRule>
    <cfRule type="cellIs" dxfId="2539" priority="6438" operator="equal">
      <formula>"Kweken"</formula>
    </cfRule>
    <cfRule type="cellIs" dxfId="2538" priority="6439" operator="equal">
      <formula>"Partnerbijdrage"</formula>
    </cfRule>
    <cfRule type="cellIs" dxfId="2537" priority="6440" operator="equal">
      <formula>"TV-pagina"</formula>
    </cfRule>
    <cfRule type="cellIs" dxfId="2536" priority="6441" operator="equal">
      <formula>"Tuinklussen"</formula>
    </cfRule>
    <cfRule type="cellIs" dxfId="2535" priority="6442" operator="equal">
      <formula>"Inspiratie"</formula>
    </cfRule>
  </conditionalFormatting>
  <conditionalFormatting sqref="S308:S314">
    <cfRule type="containsText" dxfId="2534" priority="6443" operator="containsText" text="[pluk]">
      <formula>NOT(ISERROR(SEARCH("[pluk]",S308)))</formula>
    </cfRule>
  </conditionalFormatting>
  <conditionalFormatting sqref="S313">
    <cfRule type="cellIs" dxfId="2533" priority="6280" operator="equal">
      <formula>"_"</formula>
    </cfRule>
  </conditionalFormatting>
  <conditionalFormatting sqref="S316">
    <cfRule type="containsText" dxfId="2532" priority="6420" operator="containsText" text="[pluk]">
      <formula>NOT(ISERROR(SEARCH("[pluk]",S316)))</formula>
    </cfRule>
    <cfRule type="cellIs" dxfId="2531" priority="6421" operator="equal">
      <formula>"Moestuin"</formula>
    </cfRule>
    <cfRule type="cellIs" dxfId="2530" priority="6422" operator="equal">
      <formula>"Hub"</formula>
    </cfRule>
    <cfRule type="cellIs" dxfId="2529" priority="6423" operator="equal">
      <formula>"Snoeien"</formula>
    </cfRule>
    <cfRule type="cellIs" dxfId="2528" priority="6424" operator="equal">
      <formula>"Biodiversiteit"</formula>
    </cfRule>
    <cfRule type="cellIs" dxfId="2527" priority="6425" operator="equal">
      <formula>"Kamerplanten"</formula>
    </cfRule>
    <cfRule type="cellIs" dxfId="2526" priority="6426" operator="equal">
      <formula>"RERUN"</formula>
    </cfRule>
    <cfRule type="cellIs" dxfId="2525" priority="6427" operator="equal">
      <formula>"Kweken"</formula>
    </cfRule>
    <cfRule type="cellIs" dxfId="2524" priority="6428" operator="equal">
      <formula>"Partnerbijdrage"</formula>
    </cfRule>
    <cfRule type="cellIs" dxfId="2523" priority="6429" operator="equal">
      <formula>"TV-pagina"</formula>
    </cfRule>
    <cfRule type="cellIs" dxfId="2522" priority="6430" operator="equal">
      <formula>"Tuinklussen"</formula>
    </cfRule>
    <cfRule type="cellIs" dxfId="2521" priority="6431" operator="equal">
      <formula>"Inspiratie"</formula>
    </cfRule>
  </conditionalFormatting>
  <conditionalFormatting sqref="S344">
    <cfRule type="containsText" dxfId="2520" priority="6185" operator="containsText" text="[adv]">
      <formula>NOT(ISERROR(SEARCH("[adv]",S344)))</formula>
    </cfRule>
  </conditionalFormatting>
  <conditionalFormatting sqref="S345">
    <cfRule type="containsText" dxfId="2519" priority="6184" operator="containsText" text="[adv]">
      <formula>NOT(ISERROR(SEARCH("[adv]",S345)))</formula>
    </cfRule>
  </conditionalFormatting>
  <conditionalFormatting sqref="S7:T7">
    <cfRule type="containsText" dxfId="2518" priority="7963" operator="containsText" text="[adv]">
      <formula>NOT(ISERROR(SEARCH("[adv]",S7)))</formula>
    </cfRule>
    <cfRule type="containsText" dxfId="2517" priority="7964" operator="containsText" text="[pluk]">
      <formula>NOT(ISERROR(SEARCH("[pluk]",S7)))</formula>
    </cfRule>
    <cfRule type="cellIs" dxfId="2516" priority="7965" operator="equal">
      <formula>"_"</formula>
    </cfRule>
  </conditionalFormatting>
  <conditionalFormatting sqref="S24:T24">
    <cfRule type="cellIs" dxfId="2515" priority="1491" operator="equal">
      <formula>"_"</formula>
    </cfRule>
  </conditionalFormatting>
  <conditionalFormatting sqref="S25:T25">
    <cfRule type="containsText" dxfId="2514" priority="3109" operator="containsText" text="[pluk]">
      <formula>NOT(ISERROR(SEARCH("[pluk]",S25)))</formula>
    </cfRule>
    <cfRule type="cellIs" dxfId="2513" priority="3110" operator="equal">
      <formula>"_"</formula>
    </cfRule>
  </conditionalFormatting>
  <conditionalFormatting sqref="S26:T26 U25:X25">
    <cfRule type="containsText" dxfId="2512" priority="7781" operator="containsText" text="[pluk]">
      <formula>NOT(ISERROR(SEARCH("[pluk]",S25)))</formula>
    </cfRule>
  </conditionalFormatting>
  <conditionalFormatting sqref="S26:T26">
    <cfRule type="containsText" dxfId="2511" priority="7780" operator="containsText" text="[adv]">
      <formula>NOT(ISERROR(SEARCH("[adv]",S26)))</formula>
    </cfRule>
  </conditionalFormatting>
  <conditionalFormatting sqref="S31:T31">
    <cfRule type="containsText" dxfId="2510" priority="1509" operator="containsText" text="[pluk]">
      <formula>NOT(ISERROR(SEARCH("[pluk]",S31)))</formula>
    </cfRule>
  </conditionalFormatting>
  <conditionalFormatting sqref="S41:T41 S42:X42 Q41:Q42">
    <cfRule type="containsText" dxfId="2509" priority="7615" operator="containsText" text="[pluk]">
      <formula>NOT(ISERROR(SEARCH("[pluk]",Q41)))</formula>
    </cfRule>
  </conditionalFormatting>
  <conditionalFormatting sqref="S44:T44 P44:Q44 T45:T46">
    <cfRule type="containsText" dxfId="2508" priority="1325" operator="containsText" text="[adv]">
      <formula>NOT(ISERROR(SEARCH("[adv]",P44)))</formula>
    </cfRule>
  </conditionalFormatting>
  <conditionalFormatting sqref="S44:T44 Q44 T45:T46">
    <cfRule type="cellIs" dxfId="2507" priority="1324" operator="equal">
      <formula>"_"</formula>
    </cfRule>
  </conditionalFormatting>
  <conditionalFormatting sqref="S50:T50">
    <cfRule type="containsText" dxfId="2506" priority="1420" operator="containsText" text="[pluk]">
      <formula>NOT(ISERROR(SEARCH("[pluk]",S50)))</formula>
    </cfRule>
    <cfRule type="cellIs" dxfId="2505" priority="1421" operator="equal">
      <formula>"_"</formula>
    </cfRule>
  </conditionalFormatting>
  <conditionalFormatting sqref="S52:T53">
    <cfRule type="containsText" dxfId="2504" priority="1472" operator="containsText" text="[pluk]">
      <formula>NOT(ISERROR(SEARCH("[pluk]",S52)))</formula>
    </cfRule>
  </conditionalFormatting>
  <conditionalFormatting sqref="S53:T53">
    <cfRule type="cellIs" dxfId="2503" priority="1439" operator="equal">
      <formula>"_"</formula>
    </cfRule>
  </conditionalFormatting>
  <conditionalFormatting sqref="S54:T54">
    <cfRule type="containsText" dxfId="2502" priority="1454" operator="containsText" text="[pluk]">
      <formula>NOT(ISERROR(SEARCH("[pluk]",S54)))</formula>
    </cfRule>
    <cfRule type="cellIs" dxfId="2501" priority="1455" operator="equal">
      <formula>"_"</formula>
    </cfRule>
  </conditionalFormatting>
  <conditionalFormatting sqref="S55:T55 S52:T52">
    <cfRule type="cellIs" dxfId="2500" priority="1475" operator="equal">
      <formula>"_"</formula>
    </cfRule>
  </conditionalFormatting>
  <conditionalFormatting sqref="S55:T55">
    <cfRule type="containsText" dxfId="2499" priority="1473" operator="containsText" text="[adv]">
      <formula>NOT(ISERROR(SEARCH("[adv]",S55)))</formula>
    </cfRule>
    <cfRule type="containsText" dxfId="2498" priority="1474" operator="containsText" text="[pluk]">
      <formula>NOT(ISERROR(SEARCH("[pluk]",S55)))</formula>
    </cfRule>
  </conditionalFormatting>
  <conditionalFormatting sqref="S60:T60">
    <cfRule type="containsText" dxfId="2497" priority="1236" operator="containsText" text="[pluk]">
      <formula>NOT(ISERROR(SEARCH("[pluk]",S60)))</formula>
    </cfRule>
    <cfRule type="cellIs" dxfId="2496" priority="1237" operator="equal">
      <formula>"_"</formula>
    </cfRule>
  </conditionalFormatting>
  <conditionalFormatting sqref="S60:T61">
    <cfRule type="containsText" dxfId="2495" priority="1252" operator="containsText" text="[adv]">
      <formula>NOT(ISERROR(SEARCH("[adv]",S60)))</formula>
    </cfRule>
  </conditionalFormatting>
  <conditionalFormatting sqref="S62:T62">
    <cfRule type="containsText" dxfId="2494" priority="1132" operator="containsText" text="[pluk]">
      <formula>NOT(ISERROR(SEARCH("[pluk]",S62)))</formula>
    </cfRule>
    <cfRule type="cellIs" dxfId="2493" priority="1133" operator="equal">
      <formula>"_"</formula>
    </cfRule>
    <cfRule type="containsText" dxfId="2492" priority="1134" operator="containsText" text="[adv]">
      <formula>NOT(ISERROR(SEARCH("[adv]",S62)))</formula>
    </cfRule>
  </conditionalFormatting>
  <conditionalFormatting sqref="S63:T63">
    <cfRule type="containsText" dxfId="2491" priority="1214" operator="containsText" text="[adv]">
      <formula>NOT(ISERROR(SEARCH("[adv]",S63)))</formula>
    </cfRule>
    <cfRule type="cellIs" dxfId="2490" priority="1215" operator="equal">
      <formula>"_"</formula>
    </cfRule>
  </conditionalFormatting>
  <conditionalFormatting sqref="S64:T64">
    <cfRule type="containsText" dxfId="2489" priority="1188" operator="containsText" text="[pluk]">
      <formula>NOT(ISERROR(SEARCH("[pluk]",S64)))</formula>
    </cfRule>
    <cfRule type="cellIs" dxfId="2488" priority="1189" operator="equal">
      <formula>"_"</formula>
    </cfRule>
  </conditionalFormatting>
  <conditionalFormatting sqref="S66:T66">
    <cfRule type="containsText" dxfId="2487" priority="1168" operator="containsText" text="[pluk]">
      <formula>NOT(ISERROR(SEARCH("[pluk]",S66)))</formula>
    </cfRule>
    <cfRule type="cellIs" dxfId="2486" priority="1169" operator="equal">
      <formula>"_"</formula>
    </cfRule>
  </conditionalFormatting>
  <conditionalFormatting sqref="S69:T69 T68">
    <cfRule type="cellIs" dxfId="2485" priority="1102" operator="equal">
      <formula>"_"</formula>
    </cfRule>
    <cfRule type="containsText" dxfId="2484" priority="1117" operator="containsText" text="[pluk]">
      <formula>NOT(ISERROR(SEARCH("[pluk]",S68)))</formula>
    </cfRule>
  </conditionalFormatting>
  <conditionalFormatting sqref="S70:T70">
    <cfRule type="containsText" dxfId="2483" priority="1098" operator="containsText" text="[adv]">
      <formula>NOT(ISERROR(SEARCH("[adv]",S70)))</formula>
    </cfRule>
    <cfRule type="containsText" dxfId="2482" priority="1099" operator="containsText" text="[pluk]">
      <formula>NOT(ISERROR(SEARCH("[pluk]",S70)))</formula>
    </cfRule>
    <cfRule type="cellIs" dxfId="2481" priority="1100" operator="equal">
      <formula>"_"</formula>
    </cfRule>
  </conditionalFormatting>
  <conditionalFormatting sqref="S71:T71">
    <cfRule type="cellIs" dxfId="2480" priority="224" operator="equal">
      <formula>"_"</formula>
    </cfRule>
    <cfRule type="containsText" dxfId="2479" priority="239" operator="containsText" text="[pluk]">
      <formula>NOT(ISERROR(SEARCH("[pluk]",S71)))</formula>
    </cfRule>
  </conditionalFormatting>
  <conditionalFormatting sqref="S74:T74">
    <cfRule type="containsText" dxfId="2478" priority="278" operator="containsText" text="[pluk]">
      <formula>NOT(ISERROR(SEARCH("[pluk]",S74)))</formula>
    </cfRule>
    <cfRule type="cellIs" dxfId="2477" priority="279" operator="equal">
      <formula>"_"</formula>
    </cfRule>
    <cfRule type="containsText" dxfId="2476" priority="280" operator="containsText" text="[adv]">
      <formula>NOT(ISERROR(SEARCH("[adv]",S74)))</formula>
    </cfRule>
  </conditionalFormatting>
  <conditionalFormatting sqref="S76:T76">
    <cfRule type="containsText" dxfId="2475" priority="311" operator="containsText" text="[adv]">
      <formula>NOT(ISERROR(SEARCH("[adv]",S76)))</formula>
    </cfRule>
    <cfRule type="containsText" dxfId="2474" priority="312" operator="containsText" text="[pluk]">
      <formula>NOT(ISERROR(SEARCH("[pluk]",S76)))</formula>
    </cfRule>
    <cfRule type="cellIs" dxfId="2473" priority="313" operator="equal">
      <formula>"_"</formula>
    </cfRule>
  </conditionalFormatting>
  <conditionalFormatting sqref="S79:T79">
    <cfRule type="cellIs" dxfId="2472" priority="4845" operator="equal">
      <formula>"_"</formula>
    </cfRule>
  </conditionalFormatting>
  <conditionalFormatting sqref="S80:T80">
    <cfRule type="containsText" dxfId="2471" priority="258" operator="containsText" text="[pluk]">
      <formula>NOT(ISERROR(SEARCH("[pluk]",S80)))</formula>
    </cfRule>
    <cfRule type="cellIs" dxfId="2470" priority="259" operator="equal">
      <formula>"_"</formula>
    </cfRule>
  </conditionalFormatting>
  <conditionalFormatting sqref="S82:T82">
    <cfRule type="containsText" dxfId="2469" priority="192" operator="containsText" text="[pluk]">
      <formula>NOT(ISERROR(SEARCH("[pluk]",S82)))</formula>
    </cfRule>
    <cfRule type="cellIs" dxfId="2468" priority="193" operator="equal">
      <formula>"_"</formula>
    </cfRule>
  </conditionalFormatting>
  <conditionalFormatting sqref="S86:T86">
    <cfRule type="containsText" dxfId="2467" priority="153" operator="containsText" text="[adv]">
      <formula>NOT(ISERROR(SEARCH("[adv]",S86)))</formula>
    </cfRule>
    <cfRule type="containsText" dxfId="2466" priority="154" operator="containsText" text="[pluk]">
      <formula>NOT(ISERROR(SEARCH("[pluk]",S86)))</formula>
    </cfRule>
    <cfRule type="cellIs" dxfId="2465" priority="155" operator="equal">
      <formula>"_"</formula>
    </cfRule>
  </conditionalFormatting>
  <conditionalFormatting sqref="S87:T87">
    <cfRule type="containsText" dxfId="2464" priority="136" operator="containsText" text="[pluk]">
      <formula>NOT(ISERROR(SEARCH("[pluk]",S87)))</formula>
    </cfRule>
    <cfRule type="cellIs" dxfId="2463" priority="137" operator="equal">
      <formula>"_"</formula>
    </cfRule>
    <cfRule type="containsText" dxfId="2462" priority="138" operator="containsText" text="[adv]">
      <formula>NOT(ISERROR(SEARCH("[adv]",S87)))</formula>
    </cfRule>
  </conditionalFormatting>
  <conditionalFormatting sqref="S89:T89">
    <cfRule type="containsText" dxfId="2461" priority="78" operator="containsText" text="[adv]">
      <formula>NOT(ISERROR(SEARCH("[adv]",S89)))</formula>
    </cfRule>
    <cfRule type="cellIs" dxfId="2460" priority="79" operator="equal">
      <formula>"_"</formula>
    </cfRule>
  </conditionalFormatting>
  <conditionalFormatting sqref="S93:T93">
    <cfRule type="containsText" dxfId="2459" priority="18" operator="containsText" text="[pluk]">
      <formula>NOT(ISERROR(SEARCH("[pluk]",S93)))</formula>
    </cfRule>
    <cfRule type="cellIs" dxfId="2458" priority="19" operator="equal">
      <formula>"_"</formula>
    </cfRule>
  </conditionalFormatting>
  <conditionalFormatting sqref="T8:T9">
    <cfRule type="containsText" dxfId="2457" priority="3561" operator="containsText" text="[adv]">
      <formula>NOT(ISERROR(SEARCH("[adv]",T8)))</formula>
    </cfRule>
    <cfRule type="containsText" dxfId="2456" priority="3562" operator="containsText" text="[pluk]">
      <formula>NOT(ISERROR(SEARCH("[pluk]",T8)))</formula>
    </cfRule>
    <cfRule type="cellIs" dxfId="2455" priority="3563" operator="equal">
      <formula>"_"</formula>
    </cfRule>
  </conditionalFormatting>
  <conditionalFormatting sqref="T16:T17">
    <cfRule type="containsText" dxfId="2454" priority="3466" operator="containsText" text="[adv]">
      <formula>NOT(ISERROR(SEARCH("[adv]",T16)))</formula>
    </cfRule>
    <cfRule type="containsText" dxfId="2453" priority="3467" operator="containsText" text="[pluk]">
      <formula>NOT(ISERROR(SEARCH("[pluk]",T16)))</formula>
    </cfRule>
    <cfRule type="cellIs" dxfId="2452" priority="3468" operator="equal">
      <formula>"_"</formula>
    </cfRule>
  </conditionalFormatting>
  <conditionalFormatting sqref="T18">
    <cfRule type="containsText" dxfId="2451" priority="3505" operator="containsText" text="[adv]">
      <formula>NOT(ISERROR(SEARCH("[adv]",T18)))</formula>
    </cfRule>
    <cfRule type="containsText" dxfId="2450" priority="3506" operator="containsText" text="[pluk]">
      <formula>NOT(ISERROR(SEARCH("[pluk]",T18)))</formula>
    </cfRule>
    <cfRule type="cellIs" dxfId="2449" priority="3507" operator="equal">
      <formula>"_"</formula>
    </cfRule>
  </conditionalFormatting>
  <conditionalFormatting sqref="T20:T21">
    <cfRule type="cellIs" dxfId="2448" priority="3504" operator="equal">
      <formula>"_"</formula>
    </cfRule>
  </conditionalFormatting>
  <conditionalFormatting sqref="T23">
    <cfRule type="containsText" dxfId="2447" priority="5101" operator="containsText" text="[pluk]">
      <formula>NOT(ISERROR(SEARCH("[pluk]",T23)))</formula>
    </cfRule>
    <cfRule type="cellIs" dxfId="2446" priority="5102" operator="equal">
      <formula>"_"</formula>
    </cfRule>
  </conditionalFormatting>
  <conditionalFormatting sqref="T24">
    <cfRule type="cellIs" dxfId="2445" priority="1490" operator="equal">
      <formula>"_"</formula>
    </cfRule>
  </conditionalFormatting>
  <conditionalFormatting sqref="T29">
    <cfRule type="containsText" dxfId="2444" priority="2787" operator="containsText" text="[adv]">
      <formula>NOT(ISERROR(SEARCH("[adv]",T29)))</formula>
    </cfRule>
    <cfRule type="containsText" dxfId="2443" priority="2788" operator="containsText" text="[pluk]">
      <formula>NOT(ISERROR(SEARCH("[pluk]",T29)))</formula>
    </cfRule>
    <cfRule type="cellIs" dxfId="2442" priority="2789" operator="equal">
      <formula>"_"</formula>
    </cfRule>
  </conditionalFormatting>
  <conditionalFormatting sqref="T31">
    <cfRule type="cellIs" dxfId="2441" priority="1508" operator="equal">
      <formula>"_"</formula>
    </cfRule>
  </conditionalFormatting>
  <conditionalFormatting sqref="T32:T34">
    <cfRule type="containsText" dxfId="2440" priority="3557" operator="containsText" text="[pluk]">
      <formula>NOT(ISERROR(SEARCH("[pluk]",T32)))</formula>
    </cfRule>
    <cfRule type="cellIs" dxfId="2439" priority="3558" operator="equal">
      <formula>"_"</formula>
    </cfRule>
    <cfRule type="containsText" dxfId="2438" priority="3559" operator="containsText" text="[pluk]">
      <formula>NOT(ISERROR(SEARCH("[pluk]",T32)))</formula>
    </cfRule>
    <cfRule type="cellIs" dxfId="2437" priority="3560" operator="equal">
      <formula>"_"</formula>
    </cfRule>
  </conditionalFormatting>
  <conditionalFormatting sqref="T36:T40">
    <cfRule type="containsText" dxfId="2436" priority="3553" operator="containsText" text="[pluk]">
      <formula>NOT(ISERROR(SEARCH("[pluk]",T36)))</formula>
    </cfRule>
    <cfRule type="cellIs" dxfId="2435" priority="3554" operator="equal">
      <formula>"_"</formula>
    </cfRule>
    <cfRule type="containsText" dxfId="2434" priority="3555" operator="containsText" text="[pluk]">
      <formula>NOT(ISERROR(SEARCH("[pluk]",T36)))</formula>
    </cfRule>
    <cfRule type="cellIs" dxfId="2433" priority="3556" operator="equal">
      <formula>"_"</formula>
    </cfRule>
  </conditionalFormatting>
  <conditionalFormatting sqref="T41:T42">
    <cfRule type="containsText" dxfId="2432" priority="7614" operator="containsText" text="[adv]">
      <formula>NOT(ISERROR(SEARCH("[adv]",T41)))</formula>
    </cfRule>
  </conditionalFormatting>
  <conditionalFormatting sqref="T47">
    <cfRule type="containsText" dxfId="2431" priority="3545" operator="containsText" text="[pluk]">
      <formula>NOT(ISERROR(SEARCH("[pluk]",T47)))</formula>
    </cfRule>
    <cfRule type="cellIs" dxfId="2430" priority="3546" operator="equal">
      <formula>"_"</formula>
    </cfRule>
    <cfRule type="containsText" dxfId="2429" priority="3547" operator="containsText" text="[pluk]">
      <formula>NOT(ISERROR(SEARCH("[pluk]",T47)))</formula>
    </cfRule>
    <cfRule type="cellIs" dxfId="2428" priority="3548" operator="equal">
      <formula>"_"</formula>
    </cfRule>
    <cfRule type="containsText" dxfId="2427" priority="3549" operator="containsText" text="[pluk]">
      <formula>NOT(ISERROR(SEARCH("[pluk]",T47)))</formula>
    </cfRule>
    <cfRule type="cellIs" dxfId="2426" priority="3550" operator="equal">
      <formula>"_"</formula>
    </cfRule>
    <cfRule type="containsText" dxfId="2425" priority="3551" operator="containsText" text="[pluk]">
      <formula>NOT(ISERROR(SEARCH("[pluk]",T47)))</formula>
    </cfRule>
    <cfRule type="cellIs" dxfId="2424" priority="3552" operator="equal">
      <formula>"_"</formula>
    </cfRule>
  </conditionalFormatting>
  <conditionalFormatting sqref="T50">
    <cfRule type="containsText" dxfId="2423" priority="1402" operator="containsText" text="[pluk]">
      <formula>NOT(ISERROR(SEARCH("[pluk]",T50)))</formula>
    </cfRule>
    <cfRule type="cellIs" dxfId="2422" priority="1403" operator="equal">
      <formula>"_"</formula>
    </cfRule>
    <cfRule type="containsText" dxfId="2421" priority="1404" operator="containsText" text="[pluk]">
      <formula>NOT(ISERROR(SEARCH("[pluk]",T50)))</formula>
    </cfRule>
    <cfRule type="cellIs" dxfId="2420" priority="1405" operator="equal">
      <formula>"_"</formula>
    </cfRule>
  </conditionalFormatting>
  <conditionalFormatting sqref="T52">
    <cfRule type="containsText" dxfId="2419" priority="1470" operator="containsText" text="[pluk]">
      <formula>NOT(ISERROR(SEARCH("[pluk]",T52)))</formula>
    </cfRule>
    <cfRule type="cellIs" dxfId="2418" priority="1471" operator="equal">
      <formula>"_"</formula>
    </cfRule>
  </conditionalFormatting>
  <conditionalFormatting sqref="T53">
    <cfRule type="cellIs" dxfId="2417" priority="1438" operator="equal">
      <formula>"_"</formula>
    </cfRule>
  </conditionalFormatting>
  <conditionalFormatting sqref="T56">
    <cfRule type="containsText" dxfId="2416" priority="1353" operator="containsText" text="[pluk]">
      <formula>NOT(ISERROR(SEARCH("[pluk]",T56)))</formula>
    </cfRule>
    <cfRule type="cellIs" dxfId="2415" priority="1354" operator="equal">
      <formula>"_"</formula>
    </cfRule>
    <cfRule type="containsText" dxfId="2414" priority="1355" operator="containsText" text="[pluk]">
      <formula>NOT(ISERROR(SEARCH("[pluk]",T56)))</formula>
    </cfRule>
    <cfRule type="cellIs" dxfId="2413" priority="1356" operator="equal">
      <formula>"_"</formula>
    </cfRule>
  </conditionalFormatting>
  <conditionalFormatting sqref="T57">
    <cfRule type="containsText" dxfId="2412" priority="1476" operator="containsText" text="[pluk]">
      <formula>NOT(ISERROR(SEARCH("[pluk]",T57)))</formula>
    </cfRule>
    <cfRule type="cellIs" dxfId="2411" priority="1477" operator="equal">
      <formula>"_"</formula>
    </cfRule>
    <cfRule type="containsText" dxfId="2410" priority="1478" operator="containsText" text="[pluk]">
      <formula>NOT(ISERROR(SEARCH("[pluk]",T57)))</formula>
    </cfRule>
    <cfRule type="cellIs" dxfId="2409" priority="1479" operator="equal">
      <formula>"_"</formula>
    </cfRule>
    <cfRule type="containsText" dxfId="2408" priority="1480" operator="containsText" text="[pluk]">
      <formula>NOT(ISERROR(SEARCH("[pluk]",T57)))</formula>
    </cfRule>
    <cfRule type="cellIs" dxfId="2407" priority="1481" operator="equal">
      <formula>"_"</formula>
    </cfRule>
  </conditionalFormatting>
  <conditionalFormatting sqref="T60:T61">
    <cfRule type="containsText" dxfId="2406" priority="1218" operator="containsText" text="[pluk]">
      <formula>NOT(ISERROR(SEARCH("[pluk]",T60)))</formula>
    </cfRule>
    <cfRule type="cellIs" dxfId="2405" priority="1219" operator="equal">
      <formula>"_"</formula>
    </cfRule>
    <cfRule type="containsText" dxfId="2404" priority="1220" operator="containsText" text="[pluk]">
      <formula>NOT(ISERROR(SEARCH("[pluk]",T60)))</formula>
    </cfRule>
    <cfRule type="cellIs" dxfId="2403" priority="1221" operator="equal">
      <formula>"_"</formula>
    </cfRule>
  </conditionalFormatting>
  <conditionalFormatting sqref="T61">
    <cfRule type="containsText" dxfId="2402" priority="1216" operator="containsText" text="[pluk]">
      <formula>NOT(ISERROR(SEARCH("[pluk]",T61)))</formula>
    </cfRule>
    <cfRule type="cellIs" dxfId="2401" priority="1217" operator="equal">
      <formula>"_"</formula>
    </cfRule>
  </conditionalFormatting>
  <conditionalFormatting sqref="T63">
    <cfRule type="containsText" dxfId="2400" priority="1194" operator="containsText" text="[pluk]">
      <formula>NOT(ISERROR(SEARCH("[pluk]",T63)))</formula>
    </cfRule>
    <cfRule type="cellIs" dxfId="2399" priority="1195" operator="equal">
      <formula>"_"</formula>
    </cfRule>
    <cfRule type="containsText" dxfId="2398" priority="1196" operator="containsText" text="[pluk]">
      <formula>NOT(ISERROR(SEARCH("[pluk]",T63)))</formula>
    </cfRule>
    <cfRule type="cellIs" dxfId="2397" priority="1197" operator="equal">
      <formula>"_"</formula>
    </cfRule>
    <cfRule type="containsText" dxfId="2396" priority="1198" operator="containsText" text="[pluk]">
      <formula>NOT(ISERROR(SEARCH("[pluk]",T63)))</formula>
    </cfRule>
    <cfRule type="cellIs" dxfId="2395" priority="1199" operator="equal">
      <formula>"_"</formula>
    </cfRule>
  </conditionalFormatting>
  <conditionalFormatting sqref="T64">
    <cfRule type="containsText" dxfId="2394" priority="1170" operator="containsText" text="[pluk]">
      <formula>NOT(ISERROR(SEARCH("[pluk]",T64)))</formula>
    </cfRule>
    <cfRule type="cellIs" dxfId="2393" priority="1171" operator="equal">
      <formula>"_"</formula>
    </cfRule>
    <cfRule type="containsText" dxfId="2392" priority="1172" operator="containsText" text="[pluk]">
      <formula>NOT(ISERROR(SEARCH("[pluk]",T64)))</formula>
    </cfRule>
    <cfRule type="cellIs" dxfId="2391" priority="1173" operator="equal">
      <formula>"_"</formula>
    </cfRule>
  </conditionalFormatting>
  <conditionalFormatting sqref="T65 T81 T94:T98 T110:T114 T126:T130 T142:T146 T158:T162 T174:T178 T190:T194 T206:T210 T222:T226 T238:T242 T254:T258 T270:T274 T286:T290 T302:T306 T318:T322 T334:T338 T350:T354 T366:T370 T382:T386 T398:T402 T414:T418">
    <cfRule type="cellIs" dxfId="2390" priority="2767" operator="equal">
      <formula>"_"</formula>
    </cfRule>
  </conditionalFormatting>
  <conditionalFormatting sqref="T66">
    <cfRule type="containsText" dxfId="2389" priority="1166" operator="containsText" text="[pluk]">
      <formula>NOT(ISERROR(SEARCH("[pluk]",T66)))</formula>
    </cfRule>
    <cfRule type="cellIs" dxfId="2388" priority="1167" operator="equal">
      <formula>"_"</formula>
    </cfRule>
  </conditionalFormatting>
  <conditionalFormatting sqref="T68:T69">
    <cfRule type="cellIs" dxfId="2387" priority="1101" operator="equal">
      <formula>"_"</formula>
    </cfRule>
  </conditionalFormatting>
  <conditionalFormatting sqref="T71">
    <cfRule type="cellIs" dxfId="2386" priority="223" operator="equal">
      <formula>"_"</formula>
    </cfRule>
  </conditionalFormatting>
  <conditionalFormatting sqref="T72 T90 T102:T106 T118:T122 T134:T138 T150:T154 T166:T170 T182:T186 T198:T202 T214:T218 T230:T234 T246:T250 T262:T266 T278:T282 T294:T298 T310:T314 T326:T330 T342:T346 T358:T362 T374:T378 T390:T394 T406:T410">
    <cfRule type="cellIs" dxfId="2385" priority="2761" operator="equal">
      <formula>"_"</formula>
    </cfRule>
  </conditionalFormatting>
  <conditionalFormatting sqref="T73">
    <cfRule type="containsText" dxfId="2384" priority="20" operator="containsText" text="[pluk]">
      <formula>NOT(ISERROR(SEARCH("[pluk]",T73)))</formula>
    </cfRule>
    <cfRule type="cellIs" dxfId="2383" priority="21" operator="equal">
      <formula>"_"</formula>
    </cfRule>
    <cfRule type="containsText" dxfId="2382" priority="22" operator="containsText" text="[adv]">
      <formula>NOT(ISERROR(SEARCH("[adv]",T73)))</formula>
    </cfRule>
  </conditionalFormatting>
  <conditionalFormatting sqref="T74">
    <cfRule type="containsText" dxfId="2381" priority="260" operator="containsText" text="[pluk]">
      <formula>NOT(ISERROR(SEARCH("[pluk]",T74)))</formula>
    </cfRule>
    <cfRule type="cellIs" dxfId="2380" priority="261" operator="equal">
      <formula>"_"</formula>
    </cfRule>
    <cfRule type="containsText" dxfId="2379" priority="262" operator="containsText" text="[pluk]">
      <formula>NOT(ISERROR(SEARCH("[pluk]",T74)))</formula>
    </cfRule>
    <cfRule type="cellIs" dxfId="2378" priority="263" operator="equal">
      <formula>"_"</formula>
    </cfRule>
  </conditionalFormatting>
  <conditionalFormatting sqref="T77">
    <cfRule type="containsText" dxfId="2377" priority="1" operator="containsText" text="[adv]">
      <formula>NOT(ISERROR(SEARCH("[adv]",T77)))</formula>
    </cfRule>
    <cfRule type="containsText" dxfId="2376" priority="2" operator="containsText" text="[pluk]">
      <formula>NOT(ISERROR(SEARCH("[pluk]",T77)))</formula>
    </cfRule>
    <cfRule type="cellIs" dxfId="2375" priority="3" operator="equal">
      <formula>"_"</formula>
    </cfRule>
  </conditionalFormatting>
  <conditionalFormatting sqref="T78">
    <cfRule type="containsText" dxfId="2374" priority="42" operator="containsText" text="[adv]">
      <formula>NOT(ISERROR(SEARCH("[adv]",T78)))</formula>
    </cfRule>
    <cfRule type="containsText" dxfId="2373" priority="43" operator="containsText" text="[pluk]">
      <formula>NOT(ISERROR(SEARCH("[pluk]",T78)))</formula>
    </cfRule>
    <cfRule type="cellIs" dxfId="2372" priority="44" operator="equal">
      <formula>"_"</formula>
    </cfRule>
  </conditionalFormatting>
  <conditionalFormatting sqref="T80">
    <cfRule type="containsText" dxfId="2371" priority="240" operator="containsText" text="[pluk]">
      <formula>NOT(ISERROR(SEARCH("[pluk]",T80)))</formula>
    </cfRule>
    <cfRule type="cellIs" dxfId="2370" priority="241" operator="equal">
      <formula>"_"</formula>
    </cfRule>
    <cfRule type="containsText" dxfId="2369" priority="242" operator="containsText" text="[pluk]">
      <formula>NOT(ISERROR(SEARCH("[pluk]",T80)))</formula>
    </cfRule>
    <cfRule type="cellIs" dxfId="2368" priority="243" operator="equal">
      <formula>"_"</formula>
    </cfRule>
  </conditionalFormatting>
  <conditionalFormatting sqref="T82">
    <cfRule type="containsText" dxfId="2367" priority="190" operator="containsText" text="[pluk]">
      <formula>NOT(ISERROR(SEARCH("[pluk]",T82)))</formula>
    </cfRule>
    <cfRule type="cellIs" dxfId="2366" priority="191" operator="equal">
      <formula>"_"</formula>
    </cfRule>
  </conditionalFormatting>
  <conditionalFormatting sqref="T84 T100 T116 T132 T148 T164 T180 T196 T212 T228 T244 T260 T276 T292 T308 T324 T340 T356 T372 T388 T404">
    <cfRule type="containsText" dxfId="2365" priority="2756" operator="containsText" text="[pluk]">
      <formula>NOT(ISERROR(SEARCH("[pluk]",T84)))</formula>
    </cfRule>
    <cfRule type="cellIs" dxfId="2364" priority="2757" operator="equal">
      <formula>"_"</formula>
    </cfRule>
  </conditionalFormatting>
  <conditionalFormatting sqref="T84:T85 T100:T101 T116:T117 T132:T133 T148:T149 T164:T165 T180:T181 T196:T197 T212:T213 T228:T229 T244:T245 T260:T261 T276:T277 T292:T293 T308:T309 T324:T325 T340:T341 T356:T357 T372:T373 T388:T389 T404:T405">
    <cfRule type="containsText" dxfId="2363" priority="2758" operator="containsText" text="[adv]">
      <formula>NOT(ISERROR(SEARCH("[adv]",T84)))</formula>
    </cfRule>
  </conditionalFormatting>
  <conditionalFormatting sqref="T85 T101 T117 T133 T149 T165 T181 T197 T213 T229 T245 T261 T277 T293 T309 T325 T341 T357 T373 T389 T405">
    <cfRule type="containsText" dxfId="2362" priority="2759" operator="containsText" text="[pluk]">
      <formula>NOT(ISERROR(SEARCH("[pluk]",T85)))</formula>
    </cfRule>
    <cfRule type="cellIs" dxfId="2361" priority="2760" operator="equal">
      <formula>"_"</formula>
    </cfRule>
  </conditionalFormatting>
  <conditionalFormatting sqref="T87">
    <cfRule type="containsText" dxfId="2360" priority="118" operator="containsText" text="[pluk]">
      <formula>NOT(ISERROR(SEARCH("[pluk]",T87)))</formula>
    </cfRule>
    <cfRule type="cellIs" dxfId="2359" priority="119" operator="equal">
      <formula>"_"</formula>
    </cfRule>
    <cfRule type="containsText" dxfId="2358" priority="120" operator="containsText" text="[pluk]">
      <formula>NOT(ISERROR(SEARCH("[pluk]",T87)))</formula>
    </cfRule>
    <cfRule type="cellIs" dxfId="2357" priority="121" operator="equal">
      <formula>"_"</formula>
    </cfRule>
  </conditionalFormatting>
  <conditionalFormatting sqref="T88">
    <cfRule type="containsText" dxfId="2356" priority="111" operator="containsText" text="[pluk]">
      <formula>NOT(ISERROR(SEARCH("[pluk]",T88)))</formula>
    </cfRule>
    <cfRule type="cellIs" dxfId="2355" priority="112" operator="equal">
      <formula>"_"</formula>
    </cfRule>
    <cfRule type="containsText" dxfId="2354" priority="113" operator="containsText" text="[adv]">
      <formula>NOT(ISERROR(SEARCH("[adv]",T88)))</formula>
    </cfRule>
  </conditionalFormatting>
  <conditionalFormatting sqref="T89">
    <cfRule type="containsText" dxfId="2353" priority="58" operator="containsText" text="[pluk]">
      <formula>NOT(ISERROR(SEARCH("[pluk]",T89)))</formula>
    </cfRule>
    <cfRule type="cellIs" dxfId="2352" priority="59" operator="equal">
      <formula>"_"</formula>
    </cfRule>
    <cfRule type="containsText" dxfId="2351" priority="60" operator="containsText" text="[pluk]">
      <formula>NOT(ISERROR(SEARCH("[pluk]",T89)))</formula>
    </cfRule>
    <cfRule type="cellIs" dxfId="2350" priority="61" operator="equal">
      <formula>"_"</formula>
    </cfRule>
    <cfRule type="containsText" dxfId="2349" priority="62" operator="containsText" text="[pluk]">
      <formula>NOT(ISERROR(SEARCH("[pluk]",T89)))</formula>
    </cfRule>
    <cfRule type="cellIs" dxfId="2348" priority="63" operator="equal">
      <formula>"_"</formula>
    </cfRule>
  </conditionalFormatting>
  <conditionalFormatting sqref="T92 T108 T124 T140 T156 T172 T188 T204 T220 T236 T252 T268 T284 T300 T316 T332 T348 T364 T380 T396 T412">
    <cfRule type="containsText" dxfId="2347" priority="2762" operator="containsText" text="[pluk]">
      <formula>NOT(ISERROR(SEARCH("[pluk]",T92)))</formula>
    </cfRule>
    <cfRule type="cellIs" dxfId="2346" priority="2763" operator="equal">
      <formula>"_"</formula>
    </cfRule>
  </conditionalFormatting>
  <conditionalFormatting sqref="T92 T108:T109 T124:T125 T140:T141 T156:T157 T172:T173 T188:T189 T204:T205 T220:T221 T236:T237 T252:T253 T268:T269 T284:T285 T300:T301 T316:T317 T332:T333 T348:T349 T364:T365 T380:T381 T396:T397 T412:T413">
    <cfRule type="containsText" dxfId="2345" priority="2764" operator="containsText" text="[adv]">
      <formula>NOT(ISERROR(SEARCH("[adv]",T92)))</formula>
    </cfRule>
  </conditionalFormatting>
  <conditionalFormatting sqref="T109 T125 T141 T157 T173 T189 T205 T221 T237 T253 T269 T285 T301 T317 T333 T349 T365 T381 T397 T413">
    <cfRule type="containsText" dxfId="2344" priority="2765" operator="containsText" text="[pluk]">
      <formula>NOT(ISERROR(SEARCH("[pluk]",T109)))</formula>
    </cfRule>
    <cfRule type="cellIs" dxfId="2343" priority="2766" operator="equal">
      <formula>"_"</formula>
    </cfRule>
  </conditionalFormatting>
  <conditionalFormatting sqref="U40">
    <cfRule type="containsText" dxfId="2342" priority="7601" operator="containsText" text="[pluk]">
      <formula>NOT(ISERROR(SEARCH("[pluk]",U40)))</formula>
    </cfRule>
    <cfRule type="timePeriod" dxfId="2341" priority="7602" timePeriod="thisMonth">
      <formula>AND(MONTH(U40)=MONTH(TODAY()),YEAR(U40)=YEAR(TODAY()))</formula>
    </cfRule>
    <cfRule type="cellIs" dxfId="2340" priority="7603" operator="equal">
      <formula>"_"</formula>
    </cfRule>
  </conditionalFormatting>
  <conditionalFormatting sqref="U70">
    <cfRule type="timePeriod" dxfId="2339" priority="9139" timePeriod="thisMonth">
      <formula>AND(MONTH(U70)=MONTH(TODAY()),YEAR(U70)=YEAR(TODAY()))</formula>
    </cfRule>
  </conditionalFormatting>
  <conditionalFormatting sqref="U76:U78 S79:T79">
    <cfRule type="containsText" dxfId="2338" priority="4859" operator="containsText" text="[pluk]">
      <formula>NOT(ISERROR(SEARCH("[pluk]",S76)))</formula>
    </cfRule>
  </conditionalFormatting>
  <conditionalFormatting sqref="U76:U82">
    <cfRule type="notContainsBlanks" dxfId="2337" priority="4843">
      <formula>LEN(TRIM(U76))&gt;0</formula>
    </cfRule>
    <cfRule type="notContainsBlanks" dxfId="2336" priority="4867">
      <formula>LEN(TRIM(U76))&gt;0</formula>
    </cfRule>
    <cfRule type="cellIs" dxfId="2335" priority="4868" operator="equal">
      <formula>"ID+"</formula>
    </cfRule>
    <cfRule type="cellIs" dxfId="2334" priority="4869" operator="equal">
      <formula>"HK*"</formula>
    </cfRule>
    <cfRule type="cellIs" dxfId="2333" priority="4870" operator="equal">
      <formula>"HK"</formula>
    </cfRule>
    <cfRule type="cellIs" dxfId="2332" priority="4871" operator="equal">
      <formula>"HK+"</formula>
    </cfRule>
    <cfRule type="cellIs" dxfId="2331" priority="4872" operator="equal">
      <formula>"ID"</formula>
    </cfRule>
    <cfRule type="cellIs" dxfId="2330" priority="4873" operator="equal">
      <formula>"ID*"</formula>
    </cfRule>
  </conditionalFormatting>
  <conditionalFormatting sqref="U77:U78">
    <cfRule type="cellIs" dxfId="2329" priority="4846" operator="equal">
      <formula>"_"</formula>
    </cfRule>
  </conditionalFormatting>
  <conditionalFormatting sqref="U77:U82">
    <cfRule type="notContainsBlanks" dxfId="2328" priority="4860">
      <formula>LEN(TRIM(U77))&gt;0</formula>
    </cfRule>
    <cfRule type="cellIs" dxfId="2327" priority="4861" operator="equal">
      <formula>"ID+"</formula>
    </cfRule>
    <cfRule type="cellIs" dxfId="2326" priority="4862" operator="equal">
      <formula>"HK*"</formula>
    </cfRule>
    <cfRule type="cellIs" dxfId="2325" priority="4863" operator="equal">
      <formula>"HK"</formula>
    </cfRule>
    <cfRule type="cellIs" dxfId="2324" priority="4864" operator="equal">
      <formula>"HK+"</formula>
    </cfRule>
    <cfRule type="cellIs" dxfId="2323" priority="4865" operator="equal">
      <formula>"ID"</formula>
    </cfRule>
    <cfRule type="cellIs" dxfId="2322" priority="4866" operator="equal">
      <formula>"ID*"</formula>
    </cfRule>
  </conditionalFormatting>
  <conditionalFormatting sqref="U79:U82 S81:T81">
    <cfRule type="containsText" dxfId="2321" priority="4874" operator="containsText" text="[pluk]">
      <formula>NOT(ISERROR(SEARCH("[pluk]",S79)))</formula>
    </cfRule>
  </conditionalFormatting>
  <conditionalFormatting sqref="U102">
    <cfRule type="timePeriod" dxfId="2320" priority="8095" timePeriod="thisMonth">
      <formula>AND(MONTH(U102)=MONTH(TODAY()),YEAR(U102)=YEAR(TODAY()))</formula>
    </cfRule>
  </conditionalFormatting>
  <conditionalFormatting sqref="U104">
    <cfRule type="timePeriod" dxfId="2319" priority="8105" timePeriod="thisMonth">
      <formula>AND(MONTH(U104)=MONTH(TODAY()),YEAR(U104)=YEAR(TODAY()))</formula>
    </cfRule>
  </conditionalFormatting>
  <conditionalFormatting sqref="U115 AG115">
    <cfRule type="timePeriod" dxfId="2318" priority="2703" timePeriod="thisMonth">
      <formula>AND(MONTH(U115)=MONTH(TODAY()),YEAR(U115)=YEAR(TODAY()))</formula>
    </cfRule>
  </conditionalFormatting>
  <conditionalFormatting sqref="U123 AG123">
    <cfRule type="timePeriod" dxfId="2317" priority="2677" timePeriod="thisMonth">
      <formula>AND(MONTH(U123)=MONTH(TODAY()),YEAR(U123)=YEAR(TODAY()))</formula>
    </cfRule>
  </conditionalFormatting>
  <conditionalFormatting sqref="U131 AG131">
    <cfRule type="timePeriod" dxfId="2316" priority="2651" timePeriod="thisMonth">
      <formula>AND(MONTH(U131)=MONTH(TODAY()),YEAR(U131)=YEAR(TODAY()))</formula>
    </cfRule>
  </conditionalFormatting>
  <conditionalFormatting sqref="U132:U133">
    <cfRule type="timePeriod" dxfId="2315" priority="8056" timePeriod="thisMonth">
      <formula>AND(MONTH(U132)=MONTH(TODAY()),YEAR(U132)=YEAR(TODAY()))</formula>
    </cfRule>
  </conditionalFormatting>
  <conditionalFormatting sqref="U136">
    <cfRule type="timePeriod" dxfId="2314" priority="8055" timePeriod="thisMonth">
      <formula>AND(MONTH(U136)=MONTH(TODAY()),YEAR(U136)=YEAR(TODAY()))</formula>
    </cfRule>
  </conditionalFormatting>
  <conditionalFormatting sqref="U139 AG139">
    <cfRule type="timePeriod" dxfId="2313" priority="2626" timePeriod="thisMonth">
      <formula>AND(MONTH(U139)=MONTH(TODAY()),YEAR(U139)=YEAR(TODAY()))</formula>
    </cfRule>
  </conditionalFormatting>
  <conditionalFormatting sqref="U140">
    <cfRule type="timePeriod" dxfId="2312" priority="8046" timePeriod="thisMonth">
      <formula>AND(MONTH(U140)=MONTH(TODAY()),YEAR(U140)=YEAR(TODAY()))</formula>
    </cfRule>
  </conditionalFormatting>
  <conditionalFormatting sqref="U142">
    <cfRule type="timePeriod" dxfId="2311" priority="8047" timePeriod="thisMonth">
      <formula>AND(MONTH(U142)=MONTH(TODAY()),YEAR(U142)=YEAR(TODAY()))</formula>
    </cfRule>
  </conditionalFormatting>
  <conditionalFormatting sqref="U147 AG147">
    <cfRule type="timePeriod" dxfId="2310" priority="2602" timePeriod="thisMonth">
      <formula>AND(MONTH(U147)=MONTH(TODAY()),YEAR(U147)=YEAR(TODAY()))</formula>
    </cfRule>
  </conditionalFormatting>
  <conditionalFormatting sqref="U155 AG155">
    <cfRule type="timePeriod" dxfId="2309" priority="2574" timePeriod="thisMonth">
      <formula>AND(MONTH(U155)=MONTH(TODAY()),YEAR(U155)=YEAR(TODAY()))</formula>
    </cfRule>
  </conditionalFormatting>
  <conditionalFormatting sqref="U163 AG163">
    <cfRule type="timePeriod" dxfId="2308" priority="2547" timePeriod="thisMonth">
      <formula>AND(MONTH(U163)=MONTH(TODAY()),YEAR(U163)=YEAR(TODAY()))</formula>
    </cfRule>
  </conditionalFormatting>
  <conditionalFormatting sqref="U164">
    <cfRule type="cellIs" dxfId="2307" priority="7030" operator="equal">
      <formula>"_"</formula>
    </cfRule>
  </conditionalFormatting>
  <conditionalFormatting sqref="U171 AG171">
    <cfRule type="timePeriod" dxfId="2306" priority="2519" timePeriod="thisMonth">
      <formula>AND(MONTH(U171)=MONTH(TODAY()),YEAR(U171)=YEAR(TODAY()))</formula>
    </cfRule>
  </conditionalFormatting>
  <conditionalFormatting sqref="U178">
    <cfRule type="timePeriod" dxfId="2305" priority="6843" timePeriod="thisMonth">
      <formula>AND(MONTH(U178)=MONTH(TODAY()),YEAR(U178)=YEAR(TODAY()))</formula>
    </cfRule>
    <cfRule type="containsText" dxfId="2304" priority="6844" operator="containsText" text="[pluk]">
      <formula>NOT(ISERROR(SEARCH("[pluk]",U178)))</formula>
    </cfRule>
    <cfRule type="cellIs" dxfId="2303" priority="6845" operator="equal">
      <formula>"_"</formula>
    </cfRule>
  </conditionalFormatting>
  <conditionalFormatting sqref="U179 AG179">
    <cfRule type="timePeriod" dxfId="2302" priority="2492" timePeriod="thisMonth">
      <formula>AND(MONTH(U179)=MONTH(TODAY()),YEAR(U179)=YEAR(TODAY()))</formula>
    </cfRule>
  </conditionalFormatting>
  <conditionalFormatting sqref="U187 AG187">
    <cfRule type="timePeriod" dxfId="2301" priority="2463" timePeriod="thisMonth">
      <formula>AND(MONTH(U187)=MONTH(TODAY()),YEAR(U187)=YEAR(TODAY()))</formula>
    </cfRule>
  </conditionalFormatting>
  <conditionalFormatting sqref="U195 AG195">
    <cfRule type="timePeriod" dxfId="2300" priority="2433" timePeriod="thisMonth">
      <formula>AND(MONTH(U195)=MONTH(TODAY()),YEAR(U195)=YEAR(TODAY()))</formula>
    </cfRule>
  </conditionalFormatting>
  <conditionalFormatting sqref="U203 AG203">
    <cfRule type="timePeriod" dxfId="2299" priority="2401" timePeriod="thisMonth">
      <formula>AND(MONTH(U203)=MONTH(TODAY()),YEAR(U203)=YEAR(TODAY()))</formula>
    </cfRule>
  </conditionalFormatting>
  <conditionalFormatting sqref="U211 AG211">
    <cfRule type="timePeriod" dxfId="2298" priority="2370" timePeriod="thisMonth">
      <formula>AND(MONTH(U211)=MONTH(TODAY()),YEAR(U211)=YEAR(TODAY()))</formula>
    </cfRule>
  </conditionalFormatting>
  <conditionalFormatting sqref="U219 AG219">
    <cfRule type="timePeriod" dxfId="2297" priority="2338" timePeriod="thisMonth">
      <formula>AND(MONTH(U219)=MONTH(TODAY()),YEAR(U219)=YEAR(TODAY()))</formula>
    </cfRule>
  </conditionalFormatting>
  <conditionalFormatting sqref="U227 AG227">
    <cfRule type="timePeriod" dxfId="2296" priority="2307" timePeriod="thisMonth">
      <formula>AND(MONTH(U227)=MONTH(TODAY()),YEAR(U227)=YEAR(TODAY()))</formula>
    </cfRule>
  </conditionalFormatting>
  <conditionalFormatting sqref="U235 AG235">
    <cfRule type="timePeriod" dxfId="2295" priority="2275" timePeriod="thisMonth">
      <formula>AND(MONTH(U235)=MONTH(TODAY()),YEAR(U235)=YEAR(TODAY()))</formula>
    </cfRule>
  </conditionalFormatting>
  <conditionalFormatting sqref="U243 AG243">
    <cfRule type="timePeriod" dxfId="2294" priority="2244" timePeriod="thisMonth">
      <formula>AND(MONTH(U243)=MONTH(TODAY()),YEAR(U243)=YEAR(TODAY()))</formula>
    </cfRule>
  </conditionalFormatting>
  <conditionalFormatting sqref="U251 AG251">
    <cfRule type="timePeriod" dxfId="2293" priority="2212" timePeriod="thisMonth">
      <formula>AND(MONTH(U251)=MONTH(TODAY()),YEAR(U251)=YEAR(TODAY()))</formula>
    </cfRule>
  </conditionalFormatting>
  <conditionalFormatting sqref="U259 AG259">
    <cfRule type="timePeriod" dxfId="2292" priority="2180" timePeriod="thisMonth">
      <formula>AND(MONTH(U259)=MONTH(TODAY()),YEAR(U259)=YEAR(TODAY()))</formula>
    </cfRule>
  </conditionalFormatting>
  <conditionalFormatting sqref="U267 AG267">
    <cfRule type="timePeriod" dxfId="2291" priority="2147" timePeriod="thisMonth">
      <formula>AND(MONTH(U267)=MONTH(TODAY()),YEAR(U267)=YEAR(TODAY()))</formula>
    </cfRule>
  </conditionalFormatting>
  <conditionalFormatting sqref="U275 AG275">
    <cfRule type="timePeriod" dxfId="2290" priority="2116" timePeriod="thisMonth">
      <formula>AND(MONTH(U275)=MONTH(TODAY()),YEAR(U275)=YEAR(TODAY()))</formula>
    </cfRule>
  </conditionalFormatting>
  <conditionalFormatting sqref="U283 AG283">
    <cfRule type="timePeriod" dxfId="2289" priority="2085" timePeriod="thisMonth">
      <formula>AND(MONTH(U283)=MONTH(TODAY()),YEAR(U283)=YEAR(TODAY()))</formula>
    </cfRule>
  </conditionalFormatting>
  <conditionalFormatting sqref="U291 AG291">
    <cfRule type="timePeriod" dxfId="2288" priority="2056" timePeriod="thisMonth">
      <formula>AND(MONTH(U291)=MONTH(TODAY()),YEAR(U291)=YEAR(TODAY()))</formula>
    </cfRule>
  </conditionalFormatting>
  <conditionalFormatting sqref="U292">
    <cfRule type="timePeriod" dxfId="2287" priority="6283" timePeriod="thisMonth">
      <formula>AND(MONTH(U292)=MONTH(TODAY()),YEAR(U292)=YEAR(TODAY()))</formula>
    </cfRule>
  </conditionalFormatting>
  <conditionalFormatting sqref="U299 AG299">
    <cfRule type="timePeriod" dxfId="2286" priority="2025" timePeriod="thisMonth">
      <formula>AND(MONTH(U299)=MONTH(TODAY()),YEAR(U299)=YEAR(TODAY()))</formula>
    </cfRule>
  </conditionalFormatting>
  <conditionalFormatting sqref="U307 AG307">
    <cfRule type="timePeriod" dxfId="2285" priority="1994" timePeriod="thisMonth">
      <formula>AND(MONTH(U307)=MONTH(TODAY()),YEAR(U307)=YEAR(TODAY()))</formula>
    </cfRule>
  </conditionalFormatting>
  <conditionalFormatting sqref="U315 AG315">
    <cfRule type="timePeriod" dxfId="2284" priority="1962" timePeriod="thisMonth">
      <formula>AND(MONTH(U315)=MONTH(TODAY()),YEAR(U315)=YEAR(TODAY()))</formula>
    </cfRule>
  </conditionalFormatting>
  <conditionalFormatting sqref="U323 AG323">
    <cfRule type="timePeriod" dxfId="2283" priority="1931" timePeriod="thisMonth">
      <formula>AND(MONTH(U323)=MONTH(TODAY()),YEAR(U323)=YEAR(TODAY()))</formula>
    </cfRule>
  </conditionalFormatting>
  <conditionalFormatting sqref="U331 AG331">
    <cfRule type="timePeriod" dxfId="2282" priority="1899" timePeriod="thisMonth">
      <formula>AND(MONTH(U331)=MONTH(TODAY()),YEAR(U331)=YEAR(TODAY()))</formula>
    </cfRule>
  </conditionalFormatting>
  <conditionalFormatting sqref="U339 AG339">
    <cfRule type="timePeriod" dxfId="2281" priority="1868" timePeriod="thisMonth">
      <formula>AND(MONTH(U339)=MONTH(TODAY()),YEAR(U339)=YEAR(TODAY()))</formula>
    </cfRule>
  </conditionalFormatting>
  <conditionalFormatting sqref="U347 AG347">
    <cfRule type="timePeriod" dxfId="2280" priority="1836" timePeriod="thisMonth">
      <formula>AND(MONTH(U347)=MONTH(TODAY()),YEAR(U347)=YEAR(TODAY()))</formula>
    </cfRule>
  </conditionalFormatting>
  <conditionalFormatting sqref="U355 AG355">
    <cfRule type="timePeriod" dxfId="2279" priority="1805" timePeriod="thisMonth">
      <formula>AND(MONTH(U355)=MONTH(TODAY()),YEAR(U355)=YEAR(TODAY()))</formula>
    </cfRule>
  </conditionalFormatting>
  <conditionalFormatting sqref="U363 AG363">
    <cfRule type="timePeriod" dxfId="2278" priority="1772" timePeriod="thisMonth">
      <formula>AND(MONTH(U363)=MONTH(TODAY()),YEAR(U363)=YEAR(TODAY()))</formula>
    </cfRule>
  </conditionalFormatting>
  <conditionalFormatting sqref="U371 AG371">
    <cfRule type="timePeriod" dxfId="2277" priority="1741" timePeriod="thisMonth">
      <formula>AND(MONTH(U371)=MONTH(TODAY()),YEAR(U371)=YEAR(TODAY()))</formula>
    </cfRule>
  </conditionalFormatting>
  <conditionalFormatting sqref="U379 AG379">
    <cfRule type="timePeriod" dxfId="2276" priority="1709" timePeriod="thisMonth">
      <formula>AND(MONTH(U379)=MONTH(TODAY()),YEAR(U379)=YEAR(TODAY()))</formula>
    </cfRule>
  </conditionalFormatting>
  <conditionalFormatting sqref="U387 AG387">
    <cfRule type="timePeriod" dxfId="2275" priority="1678" timePeriod="thisMonth">
      <formula>AND(MONTH(U387)=MONTH(TODAY()),YEAR(U387)=YEAR(TODAY()))</formula>
    </cfRule>
  </conditionalFormatting>
  <conditionalFormatting sqref="U395 AG395">
    <cfRule type="timePeriod" dxfId="2274" priority="1648" timePeriod="thisMonth">
      <formula>AND(MONTH(U395)=MONTH(TODAY()),YEAR(U395)=YEAR(TODAY()))</formula>
    </cfRule>
  </conditionalFormatting>
  <conditionalFormatting sqref="U403 AG403">
    <cfRule type="timePeriod" dxfId="2273" priority="1619" timePeriod="thisMonth">
      <formula>AND(MONTH(U403)=MONTH(TODAY()),YEAR(U403)=YEAR(TODAY()))</formula>
    </cfRule>
  </conditionalFormatting>
  <conditionalFormatting sqref="U411 AG411">
    <cfRule type="timePeriod" dxfId="2272" priority="1587" timePeriod="thisMonth">
      <formula>AND(MONTH(U411)=MONTH(TODAY()),YEAR(U411)=YEAR(TODAY()))</formula>
    </cfRule>
  </conditionalFormatting>
  <conditionalFormatting sqref="U24:X25 S26:T26 U20:X20 S21:X21 U22:X22 S23:X23">
    <cfRule type="cellIs" dxfId="2271" priority="7782" operator="equal">
      <formula>"_"</formula>
    </cfRule>
  </conditionalFormatting>
  <conditionalFormatting sqref="U156:X156">
    <cfRule type="cellIs" dxfId="2270" priority="7342" operator="equal">
      <formula>"_"</formula>
    </cfRule>
    <cfRule type="containsText" dxfId="2269" priority="7343" operator="containsText" text="[pluk]">
      <formula>NOT(ISERROR(SEARCH("[pluk]",U156)))</formula>
    </cfRule>
  </conditionalFormatting>
  <conditionalFormatting sqref="U300:X306 S304:S306">
    <cfRule type="containsText" dxfId="2268" priority="6271" operator="containsText" text="[pluk]">
      <formula>NOT(ISERROR(SEARCH("[pluk]",S300)))</formula>
    </cfRule>
  </conditionalFormatting>
  <conditionalFormatting sqref="U308:X308">
    <cfRule type="cellIs" dxfId="2267" priority="6274" operator="equal">
      <formula>"_"</formula>
    </cfRule>
  </conditionalFormatting>
  <conditionalFormatting sqref="U340:X346">
    <cfRule type="containsText" dxfId="2266" priority="6182" operator="containsText" text="[pluk]">
      <formula>NOT(ISERROR(SEARCH("[pluk]",U340)))</formula>
    </cfRule>
  </conditionalFormatting>
  <conditionalFormatting sqref="U380:X386 U388:X394 U396:X402 U404:X410 U412:X418 Q419:X419">
    <cfRule type="containsText" dxfId="2265" priority="6110" operator="containsText" text="[pluk]">
      <formula>NOT(ISERROR(SEARCH("[pluk]",Q380)))</formula>
    </cfRule>
  </conditionalFormatting>
  <conditionalFormatting sqref="V1:V2">
    <cfRule type="notContainsBlanks" dxfId="2264" priority="6012">
      <formula>LEN(TRIM(V1))&gt;0</formula>
    </cfRule>
  </conditionalFormatting>
  <conditionalFormatting sqref="V4:V10">
    <cfRule type="notContainsBlanks" dxfId="2263" priority="8030">
      <formula>LEN(TRIM(V4))&gt;0</formula>
    </cfRule>
  </conditionalFormatting>
  <conditionalFormatting sqref="V12:V18">
    <cfRule type="notContainsBlanks" dxfId="2262" priority="9213">
      <formula>LEN(TRIM(V12))&gt;0</formula>
    </cfRule>
  </conditionalFormatting>
  <conditionalFormatting sqref="V20:V26">
    <cfRule type="notContainsBlanks" dxfId="2261" priority="9203">
      <formula>LEN(TRIM(V20))&gt;0</formula>
    </cfRule>
  </conditionalFormatting>
  <conditionalFormatting sqref="V28:V34">
    <cfRule type="notContainsBlanks" dxfId="2260" priority="9193">
      <formula>LEN(TRIM(V28))&gt;0</formula>
    </cfRule>
  </conditionalFormatting>
  <conditionalFormatting sqref="V36:V42">
    <cfRule type="notContainsBlanks" dxfId="2259" priority="9183">
      <formula>LEN(TRIM(V36))&gt;0</formula>
    </cfRule>
  </conditionalFormatting>
  <conditionalFormatting sqref="V76:V82">
    <cfRule type="notContainsBlanks" dxfId="2258" priority="4658">
      <formula>LEN(TRIM(V76))&gt;0</formula>
    </cfRule>
    <cfRule type="cellIs" dxfId="2257" priority="4659" operator="equal">
      <formula>"_"</formula>
    </cfRule>
    <cfRule type="timePeriod" dxfId="2256" priority="4660" timePeriod="thisMonth">
      <formula>AND(MONTH(V76)=MONTH(TODAY()),YEAR(V76)=YEAR(TODAY()))</formula>
    </cfRule>
    <cfRule type="notContainsBlanks" dxfId="2255" priority="4661">
      <formula>LEN(TRIM(V76))&gt;0</formula>
    </cfRule>
    <cfRule type="cellIs" dxfId="2254" priority="4662" operator="equal">
      <formula>"ID+"</formula>
    </cfRule>
    <cfRule type="cellIs" dxfId="2253" priority="4663" operator="equal">
      <formula>"HK*"</formula>
    </cfRule>
    <cfRule type="cellIs" dxfId="2252" priority="4664" operator="equal">
      <formula>"HK"</formula>
    </cfRule>
    <cfRule type="cellIs" dxfId="2251" priority="4665" operator="equal">
      <formula>"HK+"</formula>
    </cfRule>
    <cfRule type="cellIs" dxfId="2250" priority="4666" operator="equal">
      <formula>"ID"</formula>
    </cfRule>
    <cfRule type="cellIs" dxfId="2249" priority="4667" operator="equal">
      <formula>"ID*"</formula>
    </cfRule>
    <cfRule type="notContainsBlanks" dxfId="2248" priority="4668">
      <formula>LEN(TRIM(V76))&gt;0</formula>
    </cfRule>
    <cfRule type="containsText" dxfId="2247" priority="4669" operator="containsText" text="[adv]">
      <formula>NOT(ISERROR(SEARCH("[adv]",V76)))</formula>
    </cfRule>
  </conditionalFormatting>
  <conditionalFormatting sqref="V92:V98 V420:V456">
    <cfRule type="notContainsBlanks" dxfId="2246" priority="9314">
      <formula>LEN(TRIM(V92))&gt;0</formula>
    </cfRule>
  </conditionalFormatting>
  <conditionalFormatting sqref="V92:V98">
    <cfRule type="notContainsBlanks" dxfId="2245" priority="9363">
      <formula>LEN(TRIM(V92))&gt;0</formula>
    </cfRule>
  </conditionalFormatting>
  <conditionalFormatting sqref="V69:W70">
    <cfRule type="notContainsBlanks" dxfId="2244" priority="9083">
      <formula>LEN(TRIM(V69))&gt;0</formula>
    </cfRule>
    <cfRule type="cellIs" dxfId="2243" priority="9084" operator="equal">
      <formula>"ID+"</formula>
    </cfRule>
    <cfRule type="cellIs" dxfId="2242" priority="9085" operator="equal">
      <formula>"HK*"</formula>
    </cfRule>
    <cfRule type="cellIs" dxfId="2241" priority="9086" operator="equal">
      <formula>"HK"</formula>
    </cfRule>
    <cfRule type="cellIs" dxfId="2240" priority="9087" operator="equal">
      <formula>"HK+"</formula>
    </cfRule>
    <cfRule type="cellIs" dxfId="2239" priority="9088" operator="equal">
      <formula>"ID"</formula>
    </cfRule>
    <cfRule type="cellIs" dxfId="2238" priority="9089" operator="equal">
      <formula>"ID*"</formula>
    </cfRule>
    <cfRule type="notContainsBlanks" dxfId="2237" priority="9090">
      <formula>LEN(TRIM(V69))&gt;0</formula>
    </cfRule>
    <cfRule type="cellIs" dxfId="2236" priority="9091" operator="equal">
      <formula>"ID+"</formula>
    </cfRule>
    <cfRule type="cellIs" dxfId="2235" priority="9092" operator="equal">
      <formula>"HK*"</formula>
    </cfRule>
    <cfRule type="cellIs" dxfId="2234" priority="9093" operator="equal">
      <formula>"HK"</formula>
    </cfRule>
    <cfRule type="cellIs" dxfId="2233" priority="9094" operator="equal">
      <formula>"HK+"</formula>
    </cfRule>
    <cfRule type="cellIs" dxfId="2232" priority="9095" operator="equal">
      <formula>"ID"</formula>
    </cfRule>
    <cfRule type="cellIs" dxfId="2231" priority="9096" operator="equal">
      <formula>"ID*"</formula>
    </cfRule>
  </conditionalFormatting>
  <conditionalFormatting sqref="V4:X10 Z4:Z10">
    <cfRule type="cellIs" dxfId="2230" priority="8031" operator="equal">
      <formula>"ID+"</formula>
    </cfRule>
    <cfRule type="cellIs" dxfId="2229" priority="8032" operator="equal">
      <formula>"HK*"</formula>
    </cfRule>
    <cfRule type="cellIs" dxfId="2228" priority="8033" operator="equal">
      <formula>"HK"</formula>
    </cfRule>
    <cfRule type="cellIs" dxfId="2227" priority="8034" operator="equal">
      <formula>"HK+"</formula>
    </cfRule>
    <cfRule type="cellIs" dxfId="2226" priority="8035" operator="equal">
      <formula>"ID"</formula>
    </cfRule>
    <cfRule type="cellIs" dxfId="2225" priority="8036" operator="equal">
      <formula>"ID*"</formula>
    </cfRule>
  </conditionalFormatting>
  <conditionalFormatting sqref="V12:X18 Z12:Z18">
    <cfRule type="cellIs" dxfId="2224" priority="9214" operator="equal">
      <formula>"ID+"</formula>
    </cfRule>
    <cfRule type="cellIs" dxfId="2223" priority="9215" operator="equal">
      <formula>"HK*"</formula>
    </cfRule>
    <cfRule type="cellIs" dxfId="2222" priority="9216" operator="equal">
      <formula>"HK"</formula>
    </cfRule>
    <cfRule type="cellIs" dxfId="2221" priority="9217" operator="equal">
      <formula>"HK+"</formula>
    </cfRule>
    <cfRule type="cellIs" dxfId="2220" priority="9218" operator="equal">
      <formula>"ID"</formula>
    </cfRule>
    <cfRule type="cellIs" dxfId="2219" priority="9219" operator="equal">
      <formula>"ID*"</formula>
    </cfRule>
  </conditionalFormatting>
  <conditionalFormatting sqref="V20:X26 Z20:Z26">
    <cfRule type="cellIs" dxfId="2218" priority="9204" operator="equal">
      <formula>"ID+"</formula>
    </cfRule>
    <cfRule type="cellIs" dxfId="2217" priority="9205" operator="equal">
      <formula>"HK*"</formula>
    </cfRule>
    <cfRule type="cellIs" dxfId="2216" priority="9206" operator="equal">
      <formula>"HK"</formula>
    </cfRule>
    <cfRule type="cellIs" dxfId="2215" priority="9207" operator="equal">
      <formula>"HK+"</formula>
    </cfRule>
    <cfRule type="cellIs" dxfId="2214" priority="9208" operator="equal">
      <formula>"ID"</formula>
    </cfRule>
    <cfRule type="cellIs" dxfId="2213" priority="9209" operator="equal">
      <formula>"ID*"</formula>
    </cfRule>
  </conditionalFormatting>
  <conditionalFormatting sqref="V28:X34 Z28:Z34">
    <cfRule type="cellIs" dxfId="2212" priority="9194" operator="equal">
      <formula>"ID+"</formula>
    </cfRule>
    <cfRule type="cellIs" dxfId="2211" priority="9195" operator="equal">
      <formula>"HK*"</formula>
    </cfRule>
    <cfRule type="cellIs" dxfId="2210" priority="9196" operator="equal">
      <formula>"HK"</formula>
    </cfRule>
    <cfRule type="cellIs" dxfId="2209" priority="9197" operator="equal">
      <formula>"HK+"</formula>
    </cfRule>
    <cfRule type="cellIs" dxfId="2208" priority="9198" operator="equal">
      <formula>"ID"</formula>
    </cfRule>
    <cfRule type="cellIs" dxfId="2207" priority="9199" operator="equal">
      <formula>"ID*"</formula>
    </cfRule>
  </conditionalFormatting>
  <conditionalFormatting sqref="V36:X42 Z36:Z42">
    <cfRule type="cellIs" dxfId="2206" priority="9184" operator="equal">
      <formula>"ID+"</formula>
    </cfRule>
    <cfRule type="cellIs" dxfId="2205" priority="9185" operator="equal">
      <formula>"HK*"</formula>
    </cfRule>
    <cfRule type="cellIs" dxfId="2204" priority="9186" operator="equal">
      <formula>"HK"</formula>
    </cfRule>
    <cfRule type="cellIs" dxfId="2203" priority="9187" operator="equal">
      <formula>"HK+"</formula>
    </cfRule>
    <cfRule type="cellIs" dxfId="2202" priority="9188" operator="equal">
      <formula>"ID"</formula>
    </cfRule>
    <cfRule type="cellIs" dxfId="2201" priority="9189" operator="equal">
      <formula>"ID*"</formula>
    </cfRule>
  </conditionalFormatting>
  <conditionalFormatting sqref="V44:X50 Z44:Z50">
    <cfRule type="cellIs" dxfId="2200" priority="9330" operator="equal">
      <formula>"ID+"</formula>
    </cfRule>
    <cfRule type="cellIs" dxfId="2199" priority="9331" operator="equal">
      <formula>"HK*"</formula>
    </cfRule>
    <cfRule type="cellIs" dxfId="2198" priority="9332" operator="equal">
      <formula>"HK"</formula>
    </cfRule>
    <cfRule type="cellIs" dxfId="2197" priority="9333" operator="equal">
      <formula>"HK+"</formula>
    </cfRule>
    <cfRule type="cellIs" dxfId="2196" priority="9334" operator="equal">
      <formula>"ID"</formula>
    </cfRule>
    <cfRule type="cellIs" dxfId="2195" priority="9335" operator="equal">
      <formula>"ID*"</formula>
    </cfRule>
  </conditionalFormatting>
  <conditionalFormatting sqref="V52:X58 Z52:Z58">
    <cfRule type="cellIs" dxfId="2194" priority="9324" operator="equal">
      <formula>"ID+"</formula>
    </cfRule>
    <cfRule type="cellIs" dxfId="2193" priority="9325" operator="equal">
      <formula>"HK*"</formula>
    </cfRule>
    <cfRule type="cellIs" dxfId="2192" priority="9326" operator="equal">
      <formula>"HK"</formula>
    </cfRule>
    <cfRule type="cellIs" dxfId="2191" priority="9327" operator="equal">
      <formula>"HK+"</formula>
    </cfRule>
    <cfRule type="cellIs" dxfId="2190" priority="9328" operator="equal">
      <formula>"ID"</formula>
    </cfRule>
    <cfRule type="cellIs" dxfId="2189" priority="9329" operator="equal">
      <formula>"ID*"</formula>
    </cfRule>
  </conditionalFormatting>
  <conditionalFormatting sqref="V60:X66 Z60:Z66">
    <cfRule type="cellIs" dxfId="2188" priority="9318" operator="equal">
      <formula>"ID+"</formula>
    </cfRule>
    <cfRule type="cellIs" dxfId="2187" priority="9319" operator="equal">
      <formula>"HK*"</formula>
    </cfRule>
    <cfRule type="cellIs" dxfId="2186" priority="9320" operator="equal">
      <formula>"HK"</formula>
    </cfRule>
    <cfRule type="cellIs" dxfId="2185" priority="9321" operator="equal">
      <formula>"HK+"</formula>
    </cfRule>
    <cfRule type="cellIs" dxfId="2184" priority="9322" operator="equal">
      <formula>"ID"</formula>
    </cfRule>
    <cfRule type="cellIs" dxfId="2183" priority="9323" operator="equal">
      <formula>"ID*"</formula>
    </cfRule>
  </conditionalFormatting>
  <conditionalFormatting sqref="V68:X74 Z68:Z74">
    <cfRule type="cellIs" dxfId="2182" priority="9122" operator="equal">
      <formula>"HK+"</formula>
    </cfRule>
    <cfRule type="cellIs" dxfId="2181" priority="9124" operator="equal">
      <formula>"ID*"</formula>
    </cfRule>
  </conditionalFormatting>
  <conditionalFormatting sqref="V72:X74 Z72:Z74">
    <cfRule type="notContainsBlanks" dxfId="2180" priority="9118">
      <formula>LEN(TRIM(V72))&gt;0</formula>
    </cfRule>
    <cfRule type="cellIs" dxfId="2179" priority="9120" operator="equal">
      <formula>"HK*"</formula>
    </cfRule>
    <cfRule type="cellIs" dxfId="2178" priority="9121" operator="equal">
      <formula>"HK"</formula>
    </cfRule>
    <cfRule type="cellIs" dxfId="2177" priority="9123" operator="equal">
      <formula>"ID"</formula>
    </cfRule>
  </conditionalFormatting>
  <conditionalFormatting sqref="V72:X74">
    <cfRule type="notContainsBlanks" dxfId="2176" priority="9111">
      <formula>LEN(TRIM(V72))&gt;0</formula>
    </cfRule>
    <cfRule type="cellIs" dxfId="2175" priority="9112" operator="equal">
      <formula>"ID+"</formula>
    </cfRule>
    <cfRule type="cellIs" dxfId="2174" priority="9113" operator="equal">
      <formula>"HK*"</formula>
    </cfRule>
    <cfRule type="cellIs" dxfId="2173" priority="9114" operator="equal">
      <formula>"HK"</formula>
    </cfRule>
    <cfRule type="cellIs" dxfId="2172" priority="9115" operator="equal">
      <formula>"HK+"</formula>
    </cfRule>
    <cfRule type="cellIs" dxfId="2171" priority="9116" operator="equal">
      <formula>"ID"</formula>
    </cfRule>
    <cfRule type="cellIs" dxfId="2170" priority="9117" operator="equal">
      <formula>"ID*"</formula>
    </cfRule>
  </conditionalFormatting>
  <conditionalFormatting sqref="V76:X82">
    <cfRule type="containsText" dxfId="2169" priority="4657" operator="containsText" text="[pluk]">
      <formula>NOT(ISERROR(SEARCH("[pluk]",V76)))</formula>
    </cfRule>
  </conditionalFormatting>
  <conditionalFormatting sqref="V84:X90 Z84:Z90">
    <cfRule type="notContainsBlanks" dxfId="2168" priority="9042">
      <formula>LEN(TRIM(V84))&gt;0</formula>
    </cfRule>
    <cfRule type="cellIs" dxfId="2167" priority="9043" operator="equal">
      <formula>"ID+"</formula>
    </cfRule>
    <cfRule type="cellIs" dxfId="2166" priority="9044" operator="equal">
      <formula>"HK*"</formula>
    </cfRule>
    <cfRule type="cellIs" dxfId="2165" priority="9045" operator="equal">
      <formula>"HK"</formula>
    </cfRule>
    <cfRule type="cellIs" dxfId="2164" priority="9046" operator="equal">
      <formula>"HK+"</formula>
    </cfRule>
    <cfRule type="cellIs" dxfId="2163" priority="9047" operator="equal">
      <formula>"ID"</formula>
    </cfRule>
    <cfRule type="cellIs" dxfId="2162" priority="9048" operator="equal">
      <formula>"ID*"</formula>
    </cfRule>
    <cfRule type="notContainsBlanks" dxfId="2161" priority="9052">
      <formula>LEN(TRIM(V84))&gt;0</formula>
    </cfRule>
  </conditionalFormatting>
  <conditionalFormatting sqref="V92:X98 Z92:Z98">
    <cfRule type="cellIs" dxfId="2160" priority="9305" operator="equal">
      <formula>"ID+"</formula>
    </cfRule>
    <cfRule type="cellIs" dxfId="2159" priority="9306" operator="equal">
      <formula>"HK*"</formula>
    </cfRule>
    <cfRule type="cellIs" dxfId="2158" priority="9307" operator="equal">
      <formula>"HK"</formula>
    </cfRule>
    <cfRule type="cellIs" dxfId="2157" priority="9308" operator="equal">
      <formula>"HK+"</formula>
    </cfRule>
    <cfRule type="cellIs" dxfId="2156" priority="9309" operator="equal">
      <formula>"ID"</formula>
    </cfRule>
    <cfRule type="cellIs" dxfId="2155" priority="9310" operator="equal">
      <formula>"ID*"</formula>
    </cfRule>
    <cfRule type="cellIs" dxfId="2154" priority="9354" operator="equal">
      <formula>"ID+"</formula>
    </cfRule>
    <cfRule type="cellIs" dxfId="2153" priority="9355" operator="equal">
      <formula>"HK*"</formula>
    </cfRule>
    <cfRule type="cellIs" dxfId="2152" priority="9356" operator="equal">
      <formula>"HK"</formula>
    </cfRule>
    <cfRule type="cellIs" dxfId="2151" priority="9357" operator="equal">
      <formula>"HK+"</formula>
    </cfRule>
    <cfRule type="cellIs" dxfId="2150" priority="9358" operator="equal">
      <formula>"ID"</formula>
    </cfRule>
    <cfRule type="cellIs" dxfId="2149" priority="9359" operator="equal">
      <formula>"ID*"</formula>
    </cfRule>
  </conditionalFormatting>
  <conditionalFormatting sqref="V100:X106 V108:X114 V116:X122 Z100:Z106 Z108:Z114 Z116:Z122">
    <cfRule type="notContainsBlanks" dxfId="2148" priority="9005">
      <formula>LEN(TRIM(V100))&gt;0</formula>
    </cfRule>
  </conditionalFormatting>
  <conditionalFormatting sqref="V100:X106 Z100:Z106">
    <cfRule type="notContainsBlanks" dxfId="2147" priority="8995">
      <formula>LEN(TRIM(V100))&gt;0</formula>
    </cfRule>
    <cfRule type="cellIs" dxfId="2146" priority="8996" operator="equal">
      <formula>"ID+"</formula>
    </cfRule>
    <cfRule type="cellIs" dxfId="2145" priority="8997" operator="equal">
      <formula>"HK*"</formula>
    </cfRule>
    <cfRule type="cellIs" dxfId="2144" priority="8998" operator="equal">
      <formula>"HK"</formula>
    </cfRule>
    <cfRule type="cellIs" dxfId="2143" priority="8999" operator="equal">
      <formula>"HK+"</formula>
    </cfRule>
    <cfRule type="cellIs" dxfId="2142" priority="9000" operator="equal">
      <formula>"ID"</formula>
    </cfRule>
    <cfRule type="cellIs" dxfId="2141" priority="9001" operator="equal">
      <formula>"ID*"</formula>
    </cfRule>
  </conditionalFormatting>
  <conditionalFormatting sqref="V108:X114 Z108:Z114">
    <cfRule type="notContainsBlanks" dxfId="2140" priority="8988">
      <formula>LEN(TRIM(V108))&gt;0</formula>
    </cfRule>
    <cfRule type="cellIs" dxfId="2139" priority="8989" operator="equal">
      <formula>"ID+"</formula>
    </cfRule>
    <cfRule type="cellIs" dxfId="2138" priority="8990" operator="equal">
      <formula>"HK*"</formula>
    </cfRule>
    <cfRule type="cellIs" dxfId="2137" priority="8991" operator="equal">
      <formula>"HK"</formula>
    </cfRule>
    <cfRule type="cellIs" dxfId="2136" priority="8992" operator="equal">
      <formula>"HK+"</formula>
    </cfRule>
    <cfRule type="cellIs" dxfId="2135" priority="8993" operator="equal">
      <formula>"ID"</formula>
    </cfRule>
    <cfRule type="cellIs" dxfId="2134" priority="8994" operator="equal">
      <formula>"ID*"</formula>
    </cfRule>
  </conditionalFormatting>
  <conditionalFormatting sqref="V116:X122 Z116:Z122">
    <cfRule type="notContainsBlanks" dxfId="2133" priority="8981">
      <formula>LEN(TRIM(V116))&gt;0</formula>
    </cfRule>
    <cfRule type="cellIs" dxfId="2132" priority="8982" operator="equal">
      <formula>"ID+"</formula>
    </cfRule>
    <cfRule type="cellIs" dxfId="2131" priority="8983" operator="equal">
      <formula>"HK*"</formula>
    </cfRule>
    <cfRule type="cellIs" dxfId="2130" priority="8984" operator="equal">
      <formula>"HK"</formula>
    </cfRule>
    <cfRule type="cellIs" dxfId="2129" priority="8985" operator="equal">
      <formula>"HK+"</formula>
    </cfRule>
    <cfRule type="cellIs" dxfId="2128" priority="8986" operator="equal">
      <formula>"ID"</formula>
    </cfRule>
    <cfRule type="cellIs" dxfId="2127" priority="8987" operator="equal">
      <formula>"ID*"</formula>
    </cfRule>
  </conditionalFormatting>
  <conditionalFormatting sqref="V124:X130 V132:X138 V140:X146 Z124:Z130 Z132:Z138 Z140:Z146">
    <cfRule type="notContainsBlanks" dxfId="2126" priority="8934">
      <formula>LEN(TRIM(V124))&gt;0</formula>
    </cfRule>
  </conditionalFormatting>
  <conditionalFormatting sqref="V124:X130 Z124:Z130">
    <cfRule type="notContainsBlanks" dxfId="2125" priority="8924">
      <formula>LEN(TRIM(V124))&gt;0</formula>
    </cfRule>
    <cfRule type="cellIs" dxfId="2124" priority="8925" operator="equal">
      <formula>"ID+"</formula>
    </cfRule>
    <cfRule type="cellIs" dxfId="2123" priority="8926" operator="equal">
      <formula>"HK*"</formula>
    </cfRule>
    <cfRule type="cellIs" dxfId="2122" priority="8927" operator="equal">
      <formula>"HK"</formula>
    </cfRule>
    <cfRule type="cellIs" dxfId="2121" priority="8928" operator="equal">
      <formula>"HK+"</formula>
    </cfRule>
    <cfRule type="cellIs" dxfId="2120" priority="8929" operator="equal">
      <formula>"ID"</formula>
    </cfRule>
    <cfRule type="cellIs" dxfId="2119" priority="8930" operator="equal">
      <formula>"ID*"</formula>
    </cfRule>
  </conditionalFormatting>
  <conditionalFormatting sqref="V132:X138 Z132:Z138">
    <cfRule type="notContainsBlanks" dxfId="2118" priority="8917">
      <formula>LEN(TRIM(V132))&gt;0</formula>
    </cfRule>
    <cfRule type="cellIs" dxfId="2117" priority="8918" operator="equal">
      <formula>"ID+"</formula>
    </cfRule>
    <cfRule type="cellIs" dxfId="2116" priority="8919" operator="equal">
      <formula>"HK*"</formula>
    </cfRule>
    <cfRule type="cellIs" dxfId="2115" priority="8920" operator="equal">
      <formula>"HK"</formula>
    </cfRule>
    <cfRule type="cellIs" dxfId="2114" priority="8921" operator="equal">
      <formula>"HK+"</formula>
    </cfRule>
    <cfRule type="cellIs" dxfId="2113" priority="8922" operator="equal">
      <formula>"ID"</formula>
    </cfRule>
    <cfRule type="cellIs" dxfId="2112" priority="8923" operator="equal">
      <formula>"ID*"</formula>
    </cfRule>
  </conditionalFormatting>
  <conditionalFormatting sqref="V140:X146 Z140:Z146">
    <cfRule type="notContainsBlanks" dxfId="2111" priority="8910">
      <formula>LEN(TRIM(V140))&gt;0</formula>
    </cfRule>
    <cfRule type="cellIs" dxfId="2110" priority="8911" operator="equal">
      <formula>"ID+"</formula>
    </cfRule>
    <cfRule type="cellIs" dxfId="2109" priority="8912" operator="equal">
      <formula>"HK*"</formula>
    </cfRule>
    <cfRule type="cellIs" dxfId="2108" priority="8913" operator="equal">
      <formula>"HK"</formula>
    </cfRule>
    <cfRule type="cellIs" dxfId="2107" priority="8914" operator="equal">
      <formula>"HK+"</formula>
    </cfRule>
    <cfRule type="cellIs" dxfId="2106" priority="8915" operator="equal">
      <formula>"ID"</formula>
    </cfRule>
    <cfRule type="cellIs" dxfId="2105" priority="8916" operator="equal">
      <formula>"ID*"</formula>
    </cfRule>
  </conditionalFormatting>
  <conditionalFormatting sqref="V148:X154 V156:X162 V164:X170 Z148:Z154 Z156:Z162 Z164:Z170">
    <cfRule type="notContainsBlanks" dxfId="2104" priority="8864">
      <formula>LEN(TRIM(V148))&gt;0</formula>
    </cfRule>
  </conditionalFormatting>
  <conditionalFormatting sqref="V148:X154 Z148:Z154">
    <cfRule type="notContainsBlanks" dxfId="2103" priority="8854">
      <formula>LEN(TRIM(V148))&gt;0</formula>
    </cfRule>
    <cfRule type="cellIs" dxfId="2102" priority="8855" operator="equal">
      <formula>"ID+"</formula>
    </cfRule>
    <cfRule type="cellIs" dxfId="2101" priority="8856" operator="equal">
      <formula>"HK*"</formula>
    </cfRule>
    <cfRule type="cellIs" dxfId="2100" priority="8857" operator="equal">
      <formula>"HK"</formula>
    </cfRule>
    <cfRule type="cellIs" dxfId="2099" priority="8858" operator="equal">
      <formula>"HK+"</formula>
    </cfRule>
    <cfRule type="cellIs" dxfId="2098" priority="8859" operator="equal">
      <formula>"ID"</formula>
    </cfRule>
    <cfRule type="cellIs" dxfId="2097" priority="8860" operator="equal">
      <formula>"ID*"</formula>
    </cfRule>
  </conditionalFormatting>
  <conditionalFormatting sqref="V156:X162 Z156:Z162">
    <cfRule type="notContainsBlanks" dxfId="2096" priority="8847">
      <formula>LEN(TRIM(V156))&gt;0</formula>
    </cfRule>
    <cfRule type="cellIs" dxfId="2095" priority="8848" operator="equal">
      <formula>"ID+"</formula>
    </cfRule>
    <cfRule type="cellIs" dxfId="2094" priority="8849" operator="equal">
      <formula>"HK*"</formula>
    </cfRule>
    <cfRule type="cellIs" dxfId="2093" priority="8850" operator="equal">
      <formula>"HK"</formula>
    </cfRule>
    <cfRule type="cellIs" dxfId="2092" priority="8851" operator="equal">
      <formula>"HK+"</formula>
    </cfRule>
    <cfRule type="cellIs" dxfId="2091" priority="8852" operator="equal">
      <formula>"ID"</formula>
    </cfRule>
    <cfRule type="cellIs" dxfId="2090" priority="8853" operator="equal">
      <formula>"ID*"</formula>
    </cfRule>
  </conditionalFormatting>
  <conditionalFormatting sqref="V164:X170 Z164:Z170">
    <cfRule type="notContainsBlanks" dxfId="2089" priority="8840">
      <formula>LEN(TRIM(V164))&gt;0</formula>
    </cfRule>
    <cfRule type="cellIs" dxfId="2088" priority="8841" operator="equal">
      <formula>"ID+"</formula>
    </cfRule>
    <cfRule type="cellIs" dxfId="2087" priority="8842" operator="equal">
      <formula>"HK*"</formula>
    </cfRule>
    <cfRule type="cellIs" dxfId="2086" priority="8843" operator="equal">
      <formula>"HK"</formula>
    </cfRule>
    <cfRule type="cellIs" dxfId="2085" priority="8844" operator="equal">
      <formula>"HK+"</formula>
    </cfRule>
    <cfRule type="cellIs" dxfId="2084" priority="8845" operator="equal">
      <formula>"ID"</formula>
    </cfRule>
    <cfRule type="cellIs" dxfId="2083" priority="8846" operator="equal">
      <formula>"ID*"</formula>
    </cfRule>
  </conditionalFormatting>
  <conditionalFormatting sqref="V172:X178 V180:X186 V188:X194 V196:X202 Z172:Z178 Z180:Z186 Z188:Z194 Z196:Z202">
    <cfRule type="notContainsBlanks" dxfId="2082" priority="8786">
      <formula>LEN(TRIM(V172))&gt;0</formula>
    </cfRule>
  </conditionalFormatting>
  <conditionalFormatting sqref="V172:X178 Z172:Z178">
    <cfRule type="notContainsBlanks" dxfId="2081" priority="8776">
      <formula>LEN(TRIM(V172))&gt;0</formula>
    </cfRule>
    <cfRule type="cellIs" dxfId="2080" priority="8777" operator="equal">
      <formula>"ID+"</formula>
    </cfRule>
    <cfRule type="cellIs" dxfId="2079" priority="8778" operator="equal">
      <formula>"HK*"</formula>
    </cfRule>
    <cfRule type="cellIs" dxfId="2078" priority="8779" operator="equal">
      <formula>"HK"</formula>
    </cfRule>
    <cfRule type="cellIs" dxfId="2077" priority="8780" operator="equal">
      <formula>"HK+"</formula>
    </cfRule>
    <cfRule type="cellIs" dxfId="2076" priority="8781" operator="equal">
      <formula>"ID"</formula>
    </cfRule>
    <cfRule type="cellIs" dxfId="2075" priority="8782" operator="equal">
      <formula>"ID*"</formula>
    </cfRule>
  </conditionalFormatting>
  <conditionalFormatting sqref="V180:X186 Z180:Z186">
    <cfRule type="notContainsBlanks" dxfId="2074" priority="8769">
      <formula>LEN(TRIM(V180))&gt;0</formula>
    </cfRule>
    <cfRule type="cellIs" dxfId="2073" priority="8770" operator="equal">
      <formula>"ID+"</formula>
    </cfRule>
    <cfRule type="cellIs" dxfId="2072" priority="8771" operator="equal">
      <formula>"HK*"</formula>
    </cfRule>
    <cfRule type="cellIs" dxfId="2071" priority="8772" operator="equal">
      <formula>"HK"</formula>
    </cfRule>
    <cfRule type="cellIs" dxfId="2070" priority="8773" operator="equal">
      <formula>"HK+"</formula>
    </cfRule>
    <cfRule type="cellIs" dxfId="2069" priority="8774" operator="equal">
      <formula>"ID"</formula>
    </cfRule>
    <cfRule type="cellIs" dxfId="2068" priority="8775" operator="equal">
      <formula>"ID*"</formula>
    </cfRule>
  </conditionalFormatting>
  <conditionalFormatting sqref="V188:X194 Z188:Z194">
    <cfRule type="notContainsBlanks" dxfId="2067" priority="8762">
      <formula>LEN(TRIM(V188))&gt;0</formula>
    </cfRule>
    <cfRule type="cellIs" dxfId="2066" priority="8763" operator="equal">
      <formula>"ID+"</formula>
    </cfRule>
    <cfRule type="cellIs" dxfId="2065" priority="8764" operator="equal">
      <formula>"HK*"</formula>
    </cfRule>
    <cfRule type="cellIs" dxfId="2064" priority="8765" operator="equal">
      <formula>"HK"</formula>
    </cfRule>
    <cfRule type="cellIs" dxfId="2063" priority="8766" operator="equal">
      <formula>"HK+"</formula>
    </cfRule>
    <cfRule type="cellIs" dxfId="2062" priority="8767" operator="equal">
      <formula>"ID"</formula>
    </cfRule>
    <cfRule type="cellIs" dxfId="2061" priority="8768" operator="equal">
      <formula>"ID*"</formula>
    </cfRule>
  </conditionalFormatting>
  <conditionalFormatting sqref="V196:X202 Z196:Z202">
    <cfRule type="notContainsBlanks" dxfId="2060" priority="8755">
      <formula>LEN(TRIM(V196))&gt;0</formula>
    </cfRule>
    <cfRule type="cellIs" dxfId="2059" priority="8756" operator="equal">
      <formula>"ID+"</formula>
    </cfRule>
    <cfRule type="cellIs" dxfId="2058" priority="8757" operator="equal">
      <formula>"HK*"</formula>
    </cfRule>
    <cfRule type="cellIs" dxfId="2057" priority="8758" operator="equal">
      <formula>"HK"</formula>
    </cfRule>
    <cfRule type="cellIs" dxfId="2056" priority="8759" operator="equal">
      <formula>"HK+"</formula>
    </cfRule>
    <cfRule type="cellIs" dxfId="2055" priority="8760" operator="equal">
      <formula>"ID"</formula>
    </cfRule>
    <cfRule type="cellIs" dxfId="2054" priority="8761" operator="equal">
      <formula>"ID*"</formula>
    </cfRule>
  </conditionalFormatting>
  <conditionalFormatting sqref="V204:X210 V212:X218 V220:X226 V228:X234 Z204:Z210 Z212:Z218 Z220:Z226 Z228:Z234">
    <cfRule type="notContainsBlanks" dxfId="2053" priority="8694">
      <formula>LEN(TRIM(V204))&gt;0</formula>
    </cfRule>
  </conditionalFormatting>
  <conditionalFormatting sqref="V204:X210 Z204:Z210">
    <cfRule type="notContainsBlanks" dxfId="2052" priority="8684">
      <formula>LEN(TRIM(V204))&gt;0</formula>
    </cfRule>
    <cfRule type="cellIs" dxfId="2051" priority="8685" operator="equal">
      <formula>"ID+"</formula>
    </cfRule>
    <cfRule type="cellIs" dxfId="2050" priority="8686" operator="equal">
      <formula>"HK*"</formula>
    </cfRule>
    <cfRule type="cellIs" dxfId="2049" priority="8687" operator="equal">
      <formula>"HK"</formula>
    </cfRule>
    <cfRule type="cellIs" dxfId="2048" priority="8688" operator="equal">
      <formula>"HK+"</formula>
    </cfRule>
    <cfRule type="cellIs" dxfId="2047" priority="8689" operator="equal">
      <formula>"ID"</formula>
    </cfRule>
    <cfRule type="cellIs" dxfId="2046" priority="8690" operator="equal">
      <formula>"ID*"</formula>
    </cfRule>
  </conditionalFormatting>
  <conditionalFormatting sqref="V212:X218 Z212:Z218">
    <cfRule type="notContainsBlanks" dxfId="2045" priority="8677">
      <formula>LEN(TRIM(V212))&gt;0</formula>
    </cfRule>
    <cfRule type="cellIs" dxfId="2044" priority="8678" operator="equal">
      <formula>"ID+"</formula>
    </cfRule>
    <cfRule type="cellIs" dxfId="2043" priority="8679" operator="equal">
      <formula>"HK*"</formula>
    </cfRule>
    <cfRule type="cellIs" dxfId="2042" priority="8680" operator="equal">
      <formula>"HK"</formula>
    </cfRule>
    <cfRule type="cellIs" dxfId="2041" priority="8681" operator="equal">
      <formula>"HK+"</formula>
    </cfRule>
    <cfRule type="cellIs" dxfId="2040" priority="8682" operator="equal">
      <formula>"ID"</formula>
    </cfRule>
    <cfRule type="cellIs" dxfId="2039" priority="8683" operator="equal">
      <formula>"ID*"</formula>
    </cfRule>
  </conditionalFormatting>
  <conditionalFormatting sqref="V220:X226 Z220:Z226">
    <cfRule type="notContainsBlanks" dxfId="2038" priority="8670">
      <formula>LEN(TRIM(V220))&gt;0</formula>
    </cfRule>
    <cfRule type="cellIs" dxfId="2037" priority="8671" operator="equal">
      <formula>"ID+"</formula>
    </cfRule>
    <cfRule type="cellIs" dxfId="2036" priority="8672" operator="equal">
      <formula>"HK*"</formula>
    </cfRule>
    <cfRule type="cellIs" dxfId="2035" priority="8673" operator="equal">
      <formula>"HK"</formula>
    </cfRule>
    <cfRule type="cellIs" dxfId="2034" priority="8674" operator="equal">
      <formula>"HK+"</formula>
    </cfRule>
    <cfRule type="cellIs" dxfId="2033" priority="8675" operator="equal">
      <formula>"ID"</formula>
    </cfRule>
    <cfRule type="cellIs" dxfId="2032" priority="8676" operator="equal">
      <formula>"ID*"</formula>
    </cfRule>
  </conditionalFormatting>
  <conditionalFormatting sqref="V228:X234 Z228:Z234">
    <cfRule type="notContainsBlanks" dxfId="2031" priority="8663">
      <formula>LEN(TRIM(V228))&gt;0</formula>
    </cfRule>
    <cfRule type="cellIs" dxfId="2030" priority="8664" operator="equal">
      <formula>"ID+"</formula>
    </cfRule>
    <cfRule type="cellIs" dxfId="2029" priority="8665" operator="equal">
      <formula>"HK*"</formula>
    </cfRule>
    <cfRule type="cellIs" dxfId="2028" priority="8666" operator="equal">
      <formula>"HK"</formula>
    </cfRule>
    <cfRule type="cellIs" dxfId="2027" priority="8667" operator="equal">
      <formula>"HK+"</formula>
    </cfRule>
    <cfRule type="cellIs" dxfId="2026" priority="8668" operator="equal">
      <formula>"ID"</formula>
    </cfRule>
    <cfRule type="cellIs" dxfId="2025" priority="8669" operator="equal">
      <formula>"ID*"</formula>
    </cfRule>
  </conditionalFormatting>
  <conditionalFormatting sqref="V236:X242 V244:X250 V252:X258 V260:X266 Z236:Z242 Z244:Z250 Z252:Z258 Z260:Z266">
    <cfRule type="notContainsBlanks" dxfId="2024" priority="8602">
      <formula>LEN(TRIM(V236))&gt;0</formula>
    </cfRule>
  </conditionalFormatting>
  <conditionalFormatting sqref="V236:X242 Z236:Z242">
    <cfRule type="notContainsBlanks" dxfId="2023" priority="8592">
      <formula>LEN(TRIM(V236))&gt;0</formula>
    </cfRule>
    <cfRule type="cellIs" dxfId="2022" priority="8593" operator="equal">
      <formula>"ID+"</formula>
    </cfRule>
    <cfRule type="cellIs" dxfId="2021" priority="8594" operator="equal">
      <formula>"HK*"</formula>
    </cfRule>
    <cfRule type="cellIs" dxfId="2020" priority="8595" operator="equal">
      <formula>"HK"</formula>
    </cfRule>
    <cfRule type="cellIs" dxfId="2019" priority="8596" operator="equal">
      <formula>"HK+"</formula>
    </cfRule>
    <cfRule type="cellIs" dxfId="2018" priority="8597" operator="equal">
      <formula>"ID"</formula>
    </cfRule>
    <cfRule type="cellIs" dxfId="2017" priority="8598" operator="equal">
      <formula>"ID*"</formula>
    </cfRule>
  </conditionalFormatting>
  <conditionalFormatting sqref="V244:X250 Z244:Z250">
    <cfRule type="notContainsBlanks" dxfId="2016" priority="8585">
      <formula>LEN(TRIM(V244))&gt;0</formula>
    </cfRule>
    <cfRule type="cellIs" dxfId="2015" priority="8586" operator="equal">
      <formula>"ID+"</formula>
    </cfRule>
    <cfRule type="cellIs" dxfId="2014" priority="8587" operator="equal">
      <formula>"HK*"</formula>
    </cfRule>
    <cfRule type="cellIs" dxfId="2013" priority="8588" operator="equal">
      <formula>"HK"</formula>
    </cfRule>
    <cfRule type="cellIs" dxfId="2012" priority="8589" operator="equal">
      <formula>"HK+"</formula>
    </cfRule>
    <cfRule type="cellIs" dxfId="2011" priority="8590" operator="equal">
      <formula>"ID"</formula>
    </cfRule>
    <cfRule type="cellIs" dxfId="2010" priority="8591" operator="equal">
      <formula>"ID*"</formula>
    </cfRule>
  </conditionalFormatting>
  <conditionalFormatting sqref="V252:X258 Z252:Z258">
    <cfRule type="notContainsBlanks" dxfId="2009" priority="8578">
      <formula>LEN(TRIM(V252))&gt;0</formula>
    </cfRule>
    <cfRule type="cellIs" dxfId="2008" priority="8579" operator="equal">
      <formula>"ID+"</formula>
    </cfRule>
    <cfRule type="cellIs" dxfId="2007" priority="8580" operator="equal">
      <formula>"HK*"</formula>
    </cfRule>
    <cfRule type="cellIs" dxfId="2006" priority="8581" operator="equal">
      <formula>"HK"</formula>
    </cfRule>
    <cfRule type="cellIs" dxfId="2005" priority="8582" operator="equal">
      <formula>"HK+"</formula>
    </cfRule>
    <cfRule type="cellIs" dxfId="2004" priority="8583" operator="equal">
      <formula>"ID"</formula>
    </cfRule>
    <cfRule type="cellIs" dxfId="2003" priority="8584" operator="equal">
      <formula>"ID*"</formula>
    </cfRule>
  </conditionalFormatting>
  <conditionalFormatting sqref="V260:X266 Z260:Z266">
    <cfRule type="notContainsBlanks" dxfId="2002" priority="8571">
      <formula>LEN(TRIM(V260))&gt;0</formula>
    </cfRule>
    <cfRule type="cellIs" dxfId="2001" priority="8572" operator="equal">
      <formula>"ID+"</formula>
    </cfRule>
    <cfRule type="cellIs" dxfId="2000" priority="8573" operator="equal">
      <formula>"HK*"</formula>
    </cfRule>
    <cfRule type="cellIs" dxfId="1999" priority="8574" operator="equal">
      <formula>"HK"</formula>
    </cfRule>
    <cfRule type="cellIs" dxfId="1998" priority="8575" operator="equal">
      <formula>"HK+"</formula>
    </cfRule>
    <cfRule type="cellIs" dxfId="1997" priority="8576" operator="equal">
      <formula>"ID"</formula>
    </cfRule>
    <cfRule type="cellIs" dxfId="1996" priority="8577" operator="equal">
      <formula>"ID*"</formula>
    </cfRule>
  </conditionalFormatting>
  <conditionalFormatting sqref="V268:X274 V276:X282 V284:X290 V292:X298 Z268:Z274 Z276:Z282 Z284:Z290 Z292:Z298">
    <cfRule type="notContainsBlanks" dxfId="1995" priority="8510">
      <formula>LEN(TRIM(V268))&gt;0</formula>
    </cfRule>
  </conditionalFormatting>
  <conditionalFormatting sqref="V268:X274 Z268:Z274">
    <cfRule type="notContainsBlanks" dxfId="1994" priority="8500">
      <formula>LEN(TRIM(V268))&gt;0</formula>
    </cfRule>
    <cfRule type="cellIs" dxfId="1993" priority="8501" operator="equal">
      <formula>"ID+"</formula>
    </cfRule>
    <cfRule type="cellIs" dxfId="1992" priority="8502" operator="equal">
      <formula>"HK*"</formula>
    </cfRule>
    <cfRule type="cellIs" dxfId="1991" priority="8503" operator="equal">
      <formula>"HK"</formula>
    </cfRule>
    <cfRule type="cellIs" dxfId="1990" priority="8504" operator="equal">
      <formula>"HK+"</formula>
    </cfRule>
    <cfRule type="cellIs" dxfId="1989" priority="8505" operator="equal">
      <formula>"ID"</formula>
    </cfRule>
    <cfRule type="cellIs" dxfId="1988" priority="8506" operator="equal">
      <formula>"ID*"</formula>
    </cfRule>
  </conditionalFormatting>
  <conditionalFormatting sqref="V276:X282 Z276:Z282">
    <cfRule type="notContainsBlanks" dxfId="1987" priority="8493">
      <formula>LEN(TRIM(V276))&gt;0</formula>
    </cfRule>
    <cfRule type="cellIs" dxfId="1986" priority="8494" operator="equal">
      <formula>"ID+"</formula>
    </cfRule>
    <cfRule type="cellIs" dxfId="1985" priority="8495" operator="equal">
      <formula>"HK*"</formula>
    </cfRule>
    <cfRule type="cellIs" dxfId="1984" priority="8496" operator="equal">
      <formula>"HK"</formula>
    </cfRule>
    <cfRule type="cellIs" dxfId="1983" priority="8497" operator="equal">
      <formula>"HK+"</formula>
    </cfRule>
    <cfRule type="cellIs" dxfId="1982" priority="8498" operator="equal">
      <formula>"ID"</formula>
    </cfRule>
    <cfRule type="cellIs" dxfId="1981" priority="8499" operator="equal">
      <formula>"ID*"</formula>
    </cfRule>
  </conditionalFormatting>
  <conditionalFormatting sqref="V284:X290 Z284:Z290">
    <cfRule type="notContainsBlanks" dxfId="1980" priority="8486">
      <formula>LEN(TRIM(V284))&gt;0</formula>
    </cfRule>
    <cfRule type="cellIs" dxfId="1979" priority="8487" operator="equal">
      <formula>"ID+"</formula>
    </cfRule>
    <cfRule type="cellIs" dxfId="1978" priority="8488" operator="equal">
      <formula>"HK*"</formula>
    </cfRule>
    <cfRule type="cellIs" dxfId="1977" priority="8489" operator="equal">
      <formula>"HK"</formula>
    </cfRule>
    <cfRule type="cellIs" dxfId="1976" priority="8490" operator="equal">
      <formula>"HK+"</formula>
    </cfRule>
    <cfRule type="cellIs" dxfId="1975" priority="8491" operator="equal">
      <formula>"ID"</formula>
    </cfRule>
    <cfRule type="cellIs" dxfId="1974" priority="8492" operator="equal">
      <formula>"ID*"</formula>
    </cfRule>
  </conditionalFormatting>
  <conditionalFormatting sqref="V292:X298 Z292:Z298">
    <cfRule type="notContainsBlanks" dxfId="1973" priority="8479">
      <formula>LEN(TRIM(V292))&gt;0</formula>
    </cfRule>
    <cfRule type="cellIs" dxfId="1972" priority="8480" operator="equal">
      <formula>"ID+"</formula>
    </cfRule>
    <cfRule type="cellIs" dxfId="1971" priority="8481" operator="equal">
      <formula>"HK*"</formula>
    </cfRule>
    <cfRule type="cellIs" dxfId="1970" priority="8482" operator="equal">
      <formula>"HK"</formula>
    </cfRule>
    <cfRule type="cellIs" dxfId="1969" priority="8483" operator="equal">
      <formula>"HK+"</formula>
    </cfRule>
    <cfRule type="cellIs" dxfId="1968" priority="8484" operator="equal">
      <formula>"ID"</formula>
    </cfRule>
    <cfRule type="cellIs" dxfId="1967" priority="8485" operator="equal">
      <formula>"ID*"</formula>
    </cfRule>
  </conditionalFormatting>
  <conditionalFormatting sqref="V300:X306 V316:X322 V324:X330 Z300:Z306 Z308:Z314 Z316:Z322 Z324:Z330 V308:X314">
    <cfRule type="notContainsBlanks" dxfId="1966" priority="8418">
      <formula>LEN(TRIM(V300))&gt;0</formula>
    </cfRule>
  </conditionalFormatting>
  <conditionalFormatting sqref="V300:X306 Z300:Z306">
    <cfRule type="notContainsBlanks" dxfId="1965" priority="8408">
      <formula>LEN(TRIM(V300))&gt;0</formula>
    </cfRule>
    <cfRule type="cellIs" dxfId="1964" priority="8409" operator="equal">
      <formula>"ID+"</formula>
    </cfRule>
    <cfRule type="cellIs" dxfId="1963" priority="8410" operator="equal">
      <formula>"HK*"</formula>
    </cfRule>
    <cfRule type="cellIs" dxfId="1962" priority="8411" operator="equal">
      <formula>"HK"</formula>
    </cfRule>
    <cfRule type="cellIs" dxfId="1961" priority="8412" operator="equal">
      <formula>"HK+"</formula>
    </cfRule>
    <cfRule type="cellIs" dxfId="1960" priority="8413" operator="equal">
      <formula>"ID"</formula>
    </cfRule>
    <cfRule type="cellIs" dxfId="1959" priority="8414" operator="equal">
      <formula>"ID*"</formula>
    </cfRule>
  </conditionalFormatting>
  <conditionalFormatting sqref="V308:X314 Z308:Z314">
    <cfRule type="cellIs" dxfId="1958" priority="8402" operator="equal">
      <formula>"ID+"</formula>
    </cfRule>
    <cfRule type="cellIs" dxfId="1957" priority="8403" operator="equal">
      <formula>"HK*"</formula>
    </cfRule>
    <cfRule type="cellIs" dxfId="1956" priority="8404" operator="equal">
      <formula>"HK"</formula>
    </cfRule>
    <cfRule type="cellIs" dxfId="1955" priority="8405" operator="equal">
      <formula>"HK+"</formula>
    </cfRule>
    <cfRule type="cellIs" dxfId="1954" priority="8406" operator="equal">
      <formula>"ID"</formula>
    </cfRule>
    <cfRule type="cellIs" dxfId="1953" priority="8407" operator="equal">
      <formula>"ID*"</formula>
    </cfRule>
  </conditionalFormatting>
  <conditionalFormatting sqref="V316:X322 Z316:Z322">
    <cfRule type="notContainsBlanks" dxfId="1952" priority="8394">
      <formula>LEN(TRIM(V316))&gt;0</formula>
    </cfRule>
    <cfRule type="cellIs" dxfId="1951" priority="8395" operator="equal">
      <formula>"ID+"</formula>
    </cfRule>
    <cfRule type="cellIs" dxfId="1950" priority="8396" operator="equal">
      <formula>"HK*"</formula>
    </cfRule>
    <cfRule type="cellIs" dxfId="1949" priority="8397" operator="equal">
      <formula>"HK"</formula>
    </cfRule>
    <cfRule type="cellIs" dxfId="1948" priority="8398" operator="equal">
      <formula>"HK+"</formula>
    </cfRule>
    <cfRule type="cellIs" dxfId="1947" priority="8399" operator="equal">
      <formula>"ID"</formula>
    </cfRule>
    <cfRule type="cellIs" dxfId="1946" priority="8400" operator="equal">
      <formula>"ID*"</formula>
    </cfRule>
  </conditionalFormatting>
  <conditionalFormatting sqref="V324:X330 Z324:Z330">
    <cfRule type="notContainsBlanks" dxfId="1945" priority="8387">
      <formula>LEN(TRIM(V324))&gt;0</formula>
    </cfRule>
    <cfRule type="cellIs" dxfId="1944" priority="8388" operator="equal">
      <formula>"ID+"</formula>
    </cfRule>
    <cfRule type="cellIs" dxfId="1943" priority="8389" operator="equal">
      <formula>"HK*"</formula>
    </cfRule>
    <cfRule type="cellIs" dxfId="1942" priority="8390" operator="equal">
      <formula>"HK"</formula>
    </cfRule>
    <cfRule type="cellIs" dxfId="1941" priority="8391" operator="equal">
      <formula>"HK+"</formula>
    </cfRule>
    <cfRule type="cellIs" dxfId="1940" priority="8392" operator="equal">
      <formula>"ID"</formula>
    </cfRule>
    <cfRule type="cellIs" dxfId="1939" priority="8393" operator="equal">
      <formula>"ID*"</formula>
    </cfRule>
  </conditionalFormatting>
  <conditionalFormatting sqref="V332:X338 V340:X346 V348:X354 V356:X362 Z332:Z338 Z340:Z346 Z348:Z354 Z356:Z362">
    <cfRule type="notContainsBlanks" dxfId="1938" priority="8326">
      <formula>LEN(TRIM(V332))&gt;0</formula>
    </cfRule>
  </conditionalFormatting>
  <conditionalFormatting sqref="V332:X338 Z332:Z338">
    <cfRule type="notContainsBlanks" dxfId="1937" priority="8316">
      <formula>LEN(TRIM(V332))&gt;0</formula>
    </cfRule>
    <cfRule type="cellIs" dxfId="1936" priority="8317" operator="equal">
      <formula>"ID+"</formula>
    </cfRule>
    <cfRule type="cellIs" dxfId="1935" priority="8318" operator="equal">
      <formula>"HK*"</formula>
    </cfRule>
    <cfRule type="cellIs" dxfId="1934" priority="8319" operator="equal">
      <formula>"HK"</formula>
    </cfRule>
    <cfRule type="cellIs" dxfId="1933" priority="8320" operator="equal">
      <formula>"HK+"</formula>
    </cfRule>
    <cfRule type="cellIs" dxfId="1932" priority="8321" operator="equal">
      <formula>"ID"</formula>
    </cfRule>
    <cfRule type="cellIs" dxfId="1931" priority="8322" operator="equal">
      <formula>"ID*"</formula>
    </cfRule>
  </conditionalFormatting>
  <conditionalFormatting sqref="V340:X346 Z340:Z346">
    <cfRule type="notContainsBlanks" dxfId="1930" priority="8309">
      <formula>LEN(TRIM(V340))&gt;0</formula>
    </cfRule>
    <cfRule type="cellIs" dxfId="1929" priority="8310" operator="equal">
      <formula>"ID+"</formula>
    </cfRule>
    <cfRule type="cellIs" dxfId="1928" priority="8311" operator="equal">
      <formula>"HK*"</formula>
    </cfRule>
    <cfRule type="cellIs" dxfId="1927" priority="8312" operator="equal">
      <formula>"HK"</formula>
    </cfRule>
    <cfRule type="cellIs" dxfId="1926" priority="8313" operator="equal">
      <formula>"HK+"</formula>
    </cfRule>
    <cfRule type="cellIs" dxfId="1925" priority="8314" operator="equal">
      <formula>"ID"</formula>
    </cfRule>
    <cfRule type="cellIs" dxfId="1924" priority="8315" operator="equal">
      <formula>"ID*"</formula>
    </cfRule>
  </conditionalFormatting>
  <conditionalFormatting sqref="V348:X354 Z348:Z354">
    <cfRule type="notContainsBlanks" dxfId="1923" priority="8302">
      <formula>LEN(TRIM(V348))&gt;0</formula>
    </cfRule>
    <cfRule type="cellIs" dxfId="1922" priority="8303" operator="equal">
      <formula>"ID+"</formula>
    </cfRule>
    <cfRule type="cellIs" dxfId="1921" priority="8304" operator="equal">
      <formula>"HK*"</formula>
    </cfRule>
    <cfRule type="cellIs" dxfId="1920" priority="8305" operator="equal">
      <formula>"HK"</formula>
    </cfRule>
    <cfRule type="cellIs" dxfId="1919" priority="8306" operator="equal">
      <formula>"HK+"</formula>
    </cfRule>
    <cfRule type="cellIs" dxfId="1918" priority="8307" operator="equal">
      <formula>"ID"</formula>
    </cfRule>
    <cfRule type="cellIs" dxfId="1917" priority="8308" operator="equal">
      <formula>"ID*"</formula>
    </cfRule>
  </conditionalFormatting>
  <conditionalFormatting sqref="V356:X362 Z356:Z362">
    <cfRule type="notContainsBlanks" dxfId="1916" priority="8295">
      <formula>LEN(TRIM(V356))&gt;0</formula>
    </cfRule>
    <cfRule type="cellIs" dxfId="1915" priority="8296" operator="equal">
      <formula>"ID+"</formula>
    </cfRule>
    <cfRule type="cellIs" dxfId="1914" priority="8297" operator="equal">
      <formula>"HK*"</formula>
    </cfRule>
    <cfRule type="cellIs" dxfId="1913" priority="8298" operator="equal">
      <formula>"HK"</formula>
    </cfRule>
    <cfRule type="cellIs" dxfId="1912" priority="8299" operator="equal">
      <formula>"HK+"</formula>
    </cfRule>
    <cfRule type="cellIs" dxfId="1911" priority="8300" operator="equal">
      <formula>"ID"</formula>
    </cfRule>
    <cfRule type="cellIs" dxfId="1910" priority="8301" operator="equal">
      <formula>"ID*"</formula>
    </cfRule>
  </conditionalFormatting>
  <conditionalFormatting sqref="V364:X370 V372:X378 V380:X386 V388:X394 Z364:Z370 Z372:Z378 Z380:Z386 Z388:Z394">
    <cfRule type="notContainsBlanks" dxfId="1909" priority="8234">
      <formula>LEN(TRIM(V364))&gt;0</formula>
    </cfRule>
  </conditionalFormatting>
  <conditionalFormatting sqref="V364:X370 Z364:Z370">
    <cfRule type="notContainsBlanks" dxfId="1908" priority="8224">
      <formula>LEN(TRIM(V364))&gt;0</formula>
    </cfRule>
    <cfRule type="cellIs" dxfId="1907" priority="8225" operator="equal">
      <formula>"ID+"</formula>
    </cfRule>
    <cfRule type="cellIs" dxfId="1906" priority="8226" operator="equal">
      <formula>"HK*"</formula>
    </cfRule>
    <cfRule type="cellIs" dxfId="1905" priority="8227" operator="equal">
      <formula>"HK"</formula>
    </cfRule>
    <cfRule type="cellIs" dxfId="1904" priority="8228" operator="equal">
      <formula>"HK+"</formula>
    </cfRule>
    <cfRule type="cellIs" dxfId="1903" priority="8229" operator="equal">
      <formula>"ID"</formula>
    </cfRule>
    <cfRule type="cellIs" dxfId="1902" priority="8230" operator="equal">
      <formula>"ID*"</formula>
    </cfRule>
  </conditionalFormatting>
  <conditionalFormatting sqref="V372:X378 Z372:Z378">
    <cfRule type="notContainsBlanks" dxfId="1901" priority="8217">
      <formula>LEN(TRIM(V372))&gt;0</formula>
    </cfRule>
    <cfRule type="cellIs" dxfId="1900" priority="8218" operator="equal">
      <formula>"ID+"</formula>
    </cfRule>
    <cfRule type="cellIs" dxfId="1899" priority="8219" operator="equal">
      <formula>"HK*"</formula>
    </cfRule>
    <cfRule type="cellIs" dxfId="1898" priority="8220" operator="equal">
      <formula>"HK"</formula>
    </cfRule>
    <cfRule type="cellIs" dxfId="1897" priority="8221" operator="equal">
      <formula>"HK+"</formula>
    </cfRule>
    <cfRule type="cellIs" dxfId="1896" priority="8222" operator="equal">
      <formula>"ID"</formula>
    </cfRule>
    <cfRule type="cellIs" dxfId="1895" priority="8223" operator="equal">
      <formula>"ID*"</formula>
    </cfRule>
  </conditionalFormatting>
  <conditionalFormatting sqref="V380:X386 Z380:Z386">
    <cfRule type="notContainsBlanks" dxfId="1894" priority="8210">
      <formula>LEN(TRIM(V380))&gt;0</formula>
    </cfRule>
    <cfRule type="cellIs" dxfId="1893" priority="8211" operator="equal">
      <formula>"ID+"</formula>
    </cfRule>
    <cfRule type="cellIs" dxfId="1892" priority="8212" operator="equal">
      <formula>"HK*"</formula>
    </cfRule>
    <cfRule type="cellIs" dxfId="1891" priority="8213" operator="equal">
      <formula>"HK"</formula>
    </cfRule>
    <cfRule type="cellIs" dxfId="1890" priority="8214" operator="equal">
      <formula>"HK+"</formula>
    </cfRule>
    <cfRule type="cellIs" dxfId="1889" priority="8215" operator="equal">
      <formula>"ID"</formula>
    </cfRule>
    <cfRule type="cellIs" dxfId="1888" priority="8216" operator="equal">
      <formula>"ID*"</formula>
    </cfRule>
  </conditionalFormatting>
  <conditionalFormatting sqref="V388:X394 Z388:Z394">
    <cfRule type="notContainsBlanks" dxfId="1887" priority="8203">
      <formula>LEN(TRIM(V388))&gt;0</formula>
    </cfRule>
    <cfRule type="cellIs" dxfId="1886" priority="8204" operator="equal">
      <formula>"ID+"</formula>
    </cfRule>
    <cfRule type="cellIs" dxfId="1885" priority="8205" operator="equal">
      <formula>"HK*"</formula>
    </cfRule>
    <cfRule type="cellIs" dxfId="1884" priority="8206" operator="equal">
      <formula>"HK"</formula>
    </cfRule>
    <cfRule type="cellIs" dxfId="1883" priority="8207" operator="equal">
      <formula>"HK+"</formula>
    </cfRule>
    <cfRule type="cellIs" dxfId="1882" priority="8208" operator="equal">
      <formula>"ID"</formula>
    </cfRule>
    <cfRule type="cellIs" dxfId="1881" priority="8209" operator="equal">
      <formula>"ID*"</formula>
    </cfRule>
  </conditionalFormatting>
  <conditionalFormatting sqref="V396:X402 Z396:Z402">
    <cfRule type="cellIs" dxfId="1880" priority="8143" operator="equal">
      <formula>"ID+"</formula>
    </cfRule>
    <cfRule type="cellIs" dxfId="1879" priority="8146" operator="equal">
      <formula>"HK+"</formula>
    </cfRule>
    <cfRule type="cellIs" dxfId="1878" priority="8148" operator="equal">
      <formula>"ID*"</formula>
    </cfRule>
  </conditionalFormatting>
  <conditionalFormatting sqref="V404:X410 V412:X418 Z396:Z402 Z404:Z410 Z412:Z418 V419 V396:X402">
    <cfRule type="notContainsBlanks" dxfId="1877" priority="8149">
      <formula>LEN(TRIM(V396))&gt;0</formula>
    </cfRule>
  </conditionalFormatting>
  <conditionalFormatting sqref="V404:X410 Z404:Z410">
    <cfRule type="notContainsBlanks" dxfId="1876" priority="8135">
      <formula>LEN(TRIM(V404))&gt;0</formula>
    </cfRule>
    <cfRule type="cellIs" dxfId="1875" priority="8136" operator="equal">
      <formula>"ID+"</formula>
    </cfRule>
    <cfRule type="cellIs" dxfId="1874" priority="8137" operator="equal">
      <formula>"HK*"</formula>
    </cfRule>
    <cfRule type="cellIs" dxfId="1873" priority="8138" operator="equal">
      <formula>"HK"</formula>
    </cfRule>
    <cfRule type="cellIs" dxfId="1872" priority="8139" operator="equal">
      <formula>"HK+"</formula>
    </cfRule>
    <cfRule type="cellIs" dxfId="1871" priority="8140" operator="equal">
      <formula>"ID"</formula>
    </cfRule>
    <cfRule type="cellIs" dxfId="1870" priority="8141" operator="equal">
      <formula>"ID*"</formula>
    </cfRule>
  </conditionalFormatting>
  <conditionalFormatting sqref="V412:X418 Z412:Z418">
    <cfRule type="notContainsBlanks" dxfId="1869" priority="8128">
      <formula>LEN(TRIM(V412))&gt;0</formula>
    </cfRule>
    <cfRule type="cellIs" dxfId="1868" priority="8129" operator="equal">
      <formula>"ID+"</formula>
    </cfRule>
    <cfRule type="cellIs" dxfId="1867" priority="8130" operator="equal">
      <formula>"HK*"</formula>
    </cfRule>
    <cfRule type="cellIs" dxfId="1866" priority="8131" operator="equal">
      <formula>"HK"</formula>
    </cfRule>
    <cfRule type="cellIs" dxfId="1865" priority="8132" operator="equal">
      <formula>"HK+"</formula>
    </cfRule>
    <cfRule type="cellIs" dxfId="1864" priority="8133" operator="equal">
      <formula>"ID"</formula>
    </cfRule>
    <cfRule type="cellIs" dxfId="1863" priority="8134" operator="equal">
      <formula>"ID*"</formula>
    </cfRule>
  </conditionalFormatting>
  <conditionalFormatting sqref="V422:X428 Z422:Z428">
    <cfRule type="cellIs" dxfId="1862" priority="9299" operator="equal">
      <formula>"ID+"</formula>
    </cfRule>
    <cfRule type="cellIs" dxfId="1861" priority="9300" operator="equal">
      <formula>"HK*"</formula>
    </cfRule>
    <cfRule type="cellIs" dxfId="1860" priority="9301" operator="equal">
      <formula>"HK"</formula>
    </cfRule>
    <cfRule type="cellIs" dxfId="1859" priority="9302" operator="equal">
      <formula>"HK+"</formula>
    </cfRule>
    <cfRule type="cellIs" dxfId="1858" priority="9303" operator="equal">
      <formula>"ID"</formula>
    </cfRule>
    <cfRule type="cellIs" dxfId="1857" priority="9304" operator="equal">
      <formula>"ID*"</formula>
    </cfRule>
  </conditionalFormatting>
  <conditionalFormatting sqref="V430:X436 Z430:Z436">
    <cfRule type="cellIs" dxfId="1856" priority="9293" operator="equal">
      <formula>"ID+"</formula>
    </cfRule>
    <cfRule type="cellIs" dxfId="1855" priority="9294" operator="equal">
      <formula>"HK*"</formula>
    </cfRule>
    <cfRule type="cellIs" dxfId="1854" priority="9295" operator="equal">
      <formula>"HK"</formula>
    </cfRule>
    <cfRule type="cellIs" dxfId="1853" priority="9296" operator="equal">
      <formula>"HK+"</formula>
    </cfRule>
    <cfRule type="cellIs" dxfId="1852" priority="9297" operator="equal">
      <formula>"ID"</formula>
    </cfRule>
    <cfRule type="cellIs" dxfId="1851" priority="9298" operator="equal">
      <formula>"ID*"</formula>
    </cfRule>
  </conditionalFormatting>
  <conditionalFormatting sqref="V438:X444 Z438:Z444">
    <cfRule type="cellIs" dxfId="1850" priority="9287" operator="equal">
      <formula>"ID+"</formula>
    </cfRule>
    <cfRule type="cellIs" dxfId="1849" priority="9288" operator="equal">
      <formula>"HK*"</formula>
    </cfRule>
    <cfRule type="cellIs" dxfId="1848" priority="9289" operator="equal">
      <formula>"HK"</formula>
    </cfRule>
    <cfRule type="cellIs" dxfId="1847" priority="9290" operator="equal">
      <formula>"HK+"</formula>
    </cfRule>
    <cfRule type="cellIs" dxfId="1846" priority="9291" operator="equal">
      <formula>"ID"</formula>
    </cfRule>
    <cfRule type="cellIs" dxfId="1845" priority="9292" operator="equal">
      <formula>"ID*"</formula>
    </cfRule>
  </conditionalFormatting>
  <conditionalFormatting sqref="W1:W2">
    <cfRule type="notContainsBlanks" dxfId="1844" priority="6011">
      <formula>LEN(TRIM(W1))&gt;0</formula>
    </cfRule>
  </conditionalFormatting>
  <conditionalFormatting sqref="W4:W10">
    <cfRule type="notContainsBlanks" dxfId="1843" priority="8029">
      <formula>LEN(TRIM(W4))&gt;0</formula>
    </cfRule>
  </conditionalFormatting>
  <conditionalFormatting sqref="W12:W18">
    <cfRule type="notContainsBlanks" dxfId="1842" priority="9212">
      <formula>LEN(TRIM(W12))&gt;0</formula>
    </cfRule>
  </conditionalFormatting>
  <conditionalFormatting sqref="W20:W26">
    <cfRule type="notContainsBlanks" dxfId="1841" priority="9202">
      <formula>LEN(TRIM(W20))&gt;0</formula>
    </cfRule>
  </conditionalFormatting>
  <conditionalFormatting sqref="W28:W34">
    <cfRule type="notContainsBlanks" dxfId="1840" priority="9192">
      <formula>LEN(TRIM(W28))&gt;0</formula>
    </cfRule>
  </conditionalFormatting>
  <conditionalFormatting sqref="W36:W42">
    <cfRule type="notContainsBlanks" dxfId="1839" priority="9182">
      <formula>LEN(TRIM(W36))&gt;0</formula>
    </cfRule>
  </conditionalFormatting>
  <conditionalFormatting sqref="W76:W82">
    <cfRule type="cellIs" dxfId="1838" priority="4683" operator="equal">
      <formula>"_"</formula>
    </cfRule>
    <cfRule type="timePeriod" dxfId="1837" priority="4684" timePeriod="thisMonth">
      <formula>AND(MONTH(W76)=MONTH(TODAY()),YEAR(W76)=YEAR(TODAY()))</formula>
    </cfRule>
    <cfRule type="notContainsBlanks" dxfId="1836" priority="4685">
      <formula>LEN(TRIM(W76))&gt;0</formula>
    </cfRule>
    <cfRule type="notContainsBlanks" dxfId="1835" priority="4686">
      <formula>LEN(TRIM(W76))&gt;0</formula>
    </cfRule>
    <cfRule type="cellIs" dxfId="1834" priority="4687" operator="equal">
      <formula>"ID+"</formula>
    </cfRule>
    <cfRule type="cellIs" dxfId="1833" priority="4688" operator="equal">
      <formula>"HK*"</formula>
    </cfRule>
    <cfRule type="cellIs" dxfId="1832" priority="4689" operator="equal">
      <formula>"HK"</formula>
    </cfRule>
    <cfRule type="cellIs" dxfId="1831" priority="4690" operator="equal">
      <formula>"HK+"</formula>
    </cfRule>
    <cfRule type="cellIs" dxfId="1830" priority="4691" operator="equal">
      <formula>"ID"</formula>
    </cfRule>
    <cfRule type="cellIs" dxfId="1829" priority="4692" operator="equal">
      <formula>"ID*"</formula>
    </cfRule>
    <cfRule type="notContainsBlanks" dxfId="1828" priority="4693">
      <formula>LEN(TRIM(W76))&gt;0</formula>
    </cfRule>
    <cfRule type="notContainsBlanks" dxfId="1827" priority="4694">
      <formula>LEN(TRIM(W76))&gt;0</formula>
    </cfRule>
    <cfRule type="containsText" dxfId="1826" priority="4695" operator="containsText" text="[adv]">
      <formula>NOT(ISERROR(SEARCH("[adv]",W76)))</formula>
    </cfRule>
  </conditionalFormatting>
  <conditionalFormatting sqref="W84:W90">
    <cfRule type="notContainsBlanks" dxfId="1825" priority="9051">
      <formula>LEN(TRIM(W84))&gt;0</formula>
    </cfRule>
  </conditionalFormatting>
  <conditionalFormatting sqref="W92:W98 W421:W456">
    <cfRule type="notContainsBlanks" dxfId="1824" priority="9313">
      <formula>LEN(TRIM(W92))&gt;0</formula>
    </cfRule>
  </conditionalFormatting>
  <conditionalFormatting sqref="W92:W98">
    <cfRule type="notContainsBlanks" dxfId="1823" priority="9362">
      <formula>LEN(TRIM(W92))&gt;0</formula>
    </cfRule>
  </conditionalFormatting>
  <conditionalFormatting sqref="W100:W106 W108:W114 W116:W122">
    <cfRule type="notContainsBlanks" dxfId="1822" priority="9004">
      <formula>LEN(TRIM(W100))&gt;0</formula>
    </cfRule>
  </conditionalFormatting>
  <conditionalFormatting sqref="W124:W130 W132:W138 W140:W146 W148">
    <cfRule type="notContainsBlanks" dxfId="1821" priority="8933">
      <formula>LEN(TRIM(W124))&gt;0</formula>
    </cfRule>
  </conditionalFormatting>
  <conditionalFormatting sqref="W148:W154 W156:W162 W164:W170">
    <cfRule type="notContainsBlanks" dxfId="1820" priority="8863">
      <formula>LEN(TRIM(W148))&gt;0</formula>
    </cfRule>
  </conditionalFormatting>
  <conditionalFormatting sqref="W172:W178 W180:W186 W188:W194 W196:W202">
    <cfRule type="notContainsBlanks" dxfId="1819" priority="8785">
      <formula>LEN(TRIM(W172))&gt;0</formula>
    </cfRule>
  </conditionalFormatting>
  <conditionalFormatting sqref="W204:W210 W212:W218 W220:W226 W228:W234">
    <cfRule type="notContainsBlanks" dxfId="1818" priority="8693">
      <formula>LEN(TRIM(W204))&gt;0</formula>
    </cfRule>
  </conditionalFormatting>
  <conditionalFormatting sqref="W236:W242 W244:W250 W252:W258 W260:W266">
    <cfRule type="notContainsBlanks" dxfId="1817" priority="8601">
      <formula>LEN(TRIM(W236))&gt;0</formula>
    </cfRule>
  </conditionalFormatting>
  <conditionalFormatting sqref="W268:W274 W276:W282 W284:W290 W292:W298">
    <cfRule type="notContainsBlanks" dxfId="1816" priority="8509">
      <formula>LEN(TRIM(W268))&gt;0</formula>
    </cfRule>
  </conditionalFormatting>
  <conditionalFormatting sqref="W300:W306 W308:W314 W316:W322 W324:W330">
    <cfRule type="notContainsBlanks" dxfId="1815" priority="8417">
      <formula>LEN(TRIM(W300))&gt;0</formula>
    </cfRule>
  </conditionalFormatting>
  <conditionalFormatting sqref="W332:W338 W340:W346 W348:W354 W356:W362">
    <cfRule type="notContainsBlanks" dxfId="1814" priority="8325">
      <formula>LEN(TRIM(W332))&gt;0</formula>
    </cfRule>
  </conditionalFormatting>
  <conditionalFormatting sqref="W364:W370 W372:W378 W380:W386 W388:W394">
    <cfRule type="notContainsBlanks" dxfId="1813" priority="8233">
      <formula>LEN(TRIM(W364))&gt;0</formula>
    </cfRule>
  </conditionalFormatting>
  <conditionalFormatting sqref="X2">
    <cfRule type="notContainsBlanks" dxfId="1812" priority="6010">
      <formula>LEN(TRIM(X2))&gt;0</formula>
    </cfRule>
  </conditionalFormatting>
  <conditionalFormatting sqref="X4:X10">
    <cfRule type="notContainsBlanks" dxfId="1811" priority="8028">
      <formula>LEN(TRIM(X4))&gt;0</formula>
    </cfRule>
  </conditionalFormatting>
  <conditionalFormatting sqref="X12:X18">
    <cfRule type="notContainsBlanks" dxfId="1810" priority="9211">
      <formula>LEN(TRIM(X12))&gt;0</formula>
    </cfRule>
  </conditionalFormatting>
  <conditionalFormatting sqref="X20:X26">
    <cfRule type="notContainsBlanks" dxfId="1809" priority="9201">
      <formula>LEN(TRIM(X20))&gt;0</formula>
    </cfRule>
  </conditionalFormatting>
  <conditionalFormatting sqref="X28:X34">
    <cfRule type="notContainsBlanks" dxfId="1808" priority="9191">
      <formula>LEN(TRIM(X28))&gt;0</formula>
    </cfRule>
  </conditionalFormatting>
  <conditionalFormatting sqref="X36:X42">
    <cfRule type="notContainsBlanks" dxfId="1807" priority="9181">
      <formula>LEN(TRIM(X36))&gt;0</formula>
    </cfRule>
  </conditionalFormatting>
  <conditionalFormatting sqref="X68:X72 Z68:Z74">
    <cfRule type="cellIs" dxfId="1806" priority="9108" operator="equal">
      <formula>"HK+"</formula>
    </cfRule>
    <cfRule type="cellIs" dxfId="1805" priority="9110" operator="equal">
      <formula>"ID*"</formula>
    </cfRule>
  </conditionalFormatting>
  <conditionalFormatting sqref="X76:X82">
    <cfRule type="cellIs" dxfId="1804" priority="4670" operator="equal">
      <formula>"_"</formula>
    </cfRule>
    <cfRule type="timePeriod" dxfId="1803" priority="4671" timePeriod="thisMonth">
      <formula>AND(MONTH(X76)=MONTH(TODAY()),YEAR(X76)=YEAR(TODAY()))</formula>
    </cfRule>
    <cfRule type="notContainsBlanks" dxfId="1802" priority="4672">
      <formula>LEN(TRIM(X76))&gt;0</formula>
    </cfRule>
    <cfRule type="notContainsBlanks" dxfId="1801" priority="4673">
      <formula>LEN(TRIM(X76))&gt;0</formula>
    </cfRule>
    <cfRule type="cellIs" dxfId="1800" priority="4674" operator="equal">
      <formula>"ID+"</formula>
    </cfRule>
    <cfRule type="cellIs" dxfId="1799" priority="4675" operator="equal">
      <formula>"HK*"</formula>
    </cfRule>
    <cfRule type="cellIs" dxfId="1798" priority="4676" operator="equal">
      <formula>"HK"</formula>
    </cfRule>
    <cfRule type="cellIs" dxfId="1797" priority="4677" operator="equal">
      <formula>"HK+"</formula>
    </cfRule>
    <cfRule type="cellIs" dxfId="1796" priority="4678" operator="equal">
      <formula>"ID"</formula>
    </cfRule>
    <cfRule type="cellIs" dxfId="1795" priority="4679" operator="equal">
      <formula>"ID*"</formula>
    </cfRule>
    <cfRule type="notContainsBlanks" dxfId="1794" priority="4680">
      <formula>LEN(TRIM(X76))&gt;0</formula>
    </cfRule>
    <cfRule type="notContainsBlanks" dxfId="1793" priority="4681">
      <formula>LEN(TRIM(X76))&gt;0</formula>
    </cfRule>
    <cfRule type="containsText" dxfId="1792" priority="4682" operator="containsText" text="[adv]">
      <formula>NOT(ISERROR(SEARCH("[adv]",X76)))</formula>
    </cfRule>
  </conditionalFormatting>
  <conditionalFormatting sqref="X84:X90">
    <cfRule type="notContainsBlanks" dxfId="1791" priority="9050">
      <formula>LEN(TRIM(X84))&gt;0</formula>
    </cfRule>
  </conditionalFormatting>
  <conditionalFormatting sqref="X92:X98 X421:X456">
    <cfRule type="notContainsBlanks" dxfId="1790" priority="9312">
      <formula>LEN(TRIM(X92))&gt;0</formula>
    </cfRule>
  </conditionalFormatting>
  <conditionalFormatting sqref="X92:X98">
    <cfRule type="notContainsBlanks" dxfId="1789" priority="9361">
      <formula>LEN(TRIM(X92))&gt;0</formula>
    </cfRule>
  </conditionalFormatting>
  <conditionalFormatting sqref="X100:X106 X108:X114 X116:X122">
    <cfRule type="notContainsBlanks" dxfId="1788" priority="9003">
      <formula>LEN(TRIM(X100))&gt;0</formula>
    </cfRule>
  </conditionalFormatting>
  <conditionalFormatting sqref="X124:X130 X132:X138 X140:X146">
    <cfRule type="notContainsBlanks" dxfId="1787" priority="8932">
      <formula>LEN(TRIM(X124))&gt;0</formula>
    </cfRule>
  </conditionalFormatting>
  <conditionalFormatting sqref="X148:X154 X156:X162 X164:X170">
    <cfRule type="notContainsBlanks" dxfId="1786" priority="8862">
      <formula>LEN(TRIM(X148))&gt;0</formula>
    </cfRule>
  </conditionalFormatting>
  <conditionalFormatting sqref="X172:X178 X180:X186 X188:X194 X196:X202">
    <cfRule type="notContainsBlanks" dxfId="1785" priority="8784">
      <formula>LEN(TRIM(X172))&gt;0</formula>
    </cfRule>
  </conditionalFormatting>
  <conditionalFormatting sqref="X204:X210 X212:X218 X220:X226 X228:X234">
    <cfRule type="notContainsBlanks" dxfId="1784" priority="8692">
      <formula>LEN(TRIM(X204))&gt;0</formula>
    </cfRule>
  </conditionalFormatting>
  <conditionalFormatting sqref="X236:X242 X244:X250 X252:X258 X260:X266">
    <cfRule type="notContainsBlanks" dxfId="1783" priority="8600">
      <formula>LEN(TRIM(X236))&gt;0</formula>
    </cfRule>
  </conditionalFormatting>
  <conditionalFormatting sqref="X268:X274 X276:X282 X284:X290 X292:X298">
    <cfRule type="notContainsBlanks" dxfId="1782" priority="8508">
      <formula>LEN(TRIM(X268))&gt;0</formula>
    </cfRule>
  </conditionalFormatting>
  <conditionalFormatting sqref="X300:X306 X308:X314 X316:X322 X324:X330">
    <cfRule type="notContainsBlanks" dxfId="1781" priority="8416">
      <formula>LEN(TRIM(X300))&gt;0</formula>
    </cfRule>
  </conditionalFormatting>
  <conditionalFormatting sqref="X332:X338 X340:X346 X348:X354 X356:X362">
    <cfRule type="notContainsBlanks" dxfId="1780" priority="8324">
      <formula>LEN(TRIM(X332))&gt;0</formula>
    </cfRule>
  </conditionalFormatting>
  <conditionalFormatting sqref="X364:X370 X372:X378 X380:X386 X388:X394">
    <cfRule type="notContainsBlanks" dxfId="1779" priority="8232">
      <formula>LEN(TRIM(X364))&gt;0</formula>
    </cfRule>
  </conditionalFormatting>
  <conditionalFormatting sqref="Y75">
    <cfRule type="timePeriod" dxfId="1778" priority="114" timePeriod="thisMonth">
      <formula>AND(MONTH(Y75)=MONTH(TODAY()),YEAR(Y75)=YEAR(TODAY()))</formula>
    </cfRule>
    <cfRule type="notContainsBlanks" dxfId="1777" priority="115">
      <formula>LEN(TRIM(Y75))&gt;0</formula>
    </cfRule>
    <cfRule type="containsText" dxfId="1776" priority="116" operator="containsText" text="[pluk]">
      <formula>NOT(ISERROR(SEARCH("[pluk]",Y75)))</formula>
    </cfRule>
    <cfRule type="cellIs" dxfId="1775" priority="117" operator="equal">
      <formula>"_"</formula>
    </cfRule>
  </conditionalFormatting>
  <conditionalFormatting sqref="Y76:Y82">
    <cfRule type="notContainsBlanks" dxfId="1774" priority="4656">
      <formula>LEN(TRIM(Y76))&gt;0</formula>
    </cfRule>
  </conditionalFormatting>
  <conditionalFormatting sqref="Z1:Z2">
    <cfRule type="notContainsBlanks" dxfId="1773" priority="6009">
      <formula>LEN(TRIM(Z1))&gt;0</formula>
    </cfRule>
  </conditionalFormatting>
  <conditionalFormatting sqref="Z4:Z10">
    <cfRule type="notContainsBlanks" dxfId="1772" priority="8027">
      <formula>LEN(TRIM(Z4))&gt;0</formula>
    </cfRule>
  </conditionalFormatting>
  <conditionalFormatting sqref="Z12:Z18">
    <cfRule type="notContainsBlanks" dxfId="1771" priority="9210">
      <formula>LEN(TRIM(Z12))&gt;0</formula>
    </cfRule>
  </conditionalFormatting>
  <conditionalFormatting sqref="Z20:Z26">
    <cfRule type="notContainsBlanks" dxfId="1770" priority="9200">
      <formula>LEN(TRIM(Z20))&gt;0</formula>
    </cfRule>
  </conditionalFormatting>
  <conditionalFormatting sqref="Z28:Z34">
    <cfRule type="notContainsBlanks" dxfId="1769" priority="9190">
      <formula>LEN(TRIM(Z28))&gt;0</formula>
    </cfRule>
  </conditionalFormatting>
  <conditionalFormatting sqref="Z36:Z42">
    <cfRule type="notContainsBlanks" dxfId="1768" priority="9180">
      <formula>LEN(TRIM(Z36))&gt;0</formula>
    </cfRule>
  </conditionalFormatting>
  <conditionalFormatting sqref="Z68:Z71 X68:X72">
    <cfRule type="cellIs" dxfId="1767" priority="9098" operator="equal">
      <formula>"ID+"</formula>
    </cfRule>
    <cfRule type="cellIs" dxfId="1766" priority="9099" operator="equal">
      <formula>"HK*"</formula>
    </cfRule>
    <cfRule type="cellIs" dxfId="1765" priority="9100" operator="equal">
      <formula>"HK"</formula>
    </cfRule>
    <cfRule type="cellIs" dxfId="1764" priority="9101" operator="equal">
      <formula>"HK+"</formula>
    </cfRule>
    <cfRule type="cellIs" dxfId="1763" priority="9102" operator="equal">
      <formula>"ID"</formula>
    </cfRule>
    <cfRule type="cellIs" dxfId="1762" priority="9103" operator="equal">
      <formula>"ID*"</formula>
    </cfRule>
    <cfRule type="notContainsBlanks" dxfId="1761" priority="9104">
      <formula>LEN(TRIM(X68))&gt;0</formula>
    </cfRule>
  </conditionalFormatting>
  <conditionalFormatting sqref="Z68:Z74 V68:X74">
    <cfRule type="cellIs" dxfId="1760" priority="9119" operator="equal">
      <formula>"ID+"</formula>
    </cfRule>
    <cfRule type="cellIs" dxfId="1759" priority="9315" operator="equal">
      <formula>"HK*"</formula>
    </cfRule>
    <cfRule type="cellIs" dxfId="1758" priority="9316" operator="equal">
      <formula>"HK"</formula>
    </cfRule>
    <cfRule type="cellIs" dxfId="1757" priority="9317" operator="equal">
      <formula>"ID"</formula>
    </cfRule>
  </conditionalFormatting>
  <conditionalFormatting sqref="Z68:Z74 X68:X72">
    <cfRule type="notContainsBlanks" dxfId="1756" priority="9097">
      <formula>LEN(TRIM(X68))&gt;0</formula>
    </cfRule>
    <cfRule type="cellIs" dxfId="1755" priority="9105" operator="equal">
      <formula>"ID+"</formula>
    </cfRule>
    <cfRule type="cellIs" dxfId="1754" priority="9106" operator="equal">
      <formula>"HK*"</formula>
    </cfRule>
    <cfRule type="cellIs" dxfId="1753" priority="9107" operator="equal">
      <formula>"HK"</formula>
    </cfRule>
    <cfRule type="cellIs" dxfId="1752" priority="9109" operator="equal">
      <formula>"ID"</formula>
    </cfRule>
  </conditionalFormatting>
  <conditionalFormatting sqref="Z76:Z82">
    <cfRule type="containsText" dxfId="1751" priority="4643" operator="containsText" text="[pluk]">
      <formula>NOT(ISERROR(SEARCH("[pluk]",Z76)))</formula>
    </cfRule>
    <cfRule type="cellIs" dxfId="1750" priority="4644" operator="equal">
      <formula>"_"</formula>
    </cfRule>
    <cfRule type="timePeriod" dxfId="1749" priority="4645" timePeriod="thisMonth">
      <formula>AND(MONTH(Z76)=MONTH(TODAY()),YEAR(Z76)=YEAR(TODAY()))</formula>
    </cfRule>
    <cfRule type="notContainsBlanks" dxfId="1748" priority="4646">
      <formula>LEN(TRIM(Z76))&gt;0</formula>
    </cfRule>
    <cfRule type="cellIs" dxfId="1747" priority="4647" operator="equal">
      <formula>"ID+"</formula>
    </cfRule>
    <cfRule type="cellIs" dxfId="1746" priority="4648" operator="equal">
      <formula>"HK*"</formula>
    </cfRule>
    <cfRule type="cellIs" dxfId="1745" priority="4649" operator="equal">
      <formula>"HK"</formula>
    </cfRule>
    <cfRule type="cellIs" dxfId="1744" priority="4650" operator="equal">
      <formula>"HK+"</formula>
    </cfRule>
    <cfRule type="cellIs" dxfId="1743" priority="4651" operator="equal">
      <formula>"ID"</formula>
    </cfRule>
    <cfRule type="cellIs" dxfId="1742" priority="4652" operator="equal">
      <formula>"ID*"</formula>
    </cfRule>
    <cfRule type="notContainsBlanks" dxfId="1741" priority="4653">
      <formula>LEN(TRIM(Z76))&gt;0</formula>
    </cfRule>
    <cfRule type="notContainsBlanks" dxfId="1740" priority="4654">
      <formula>LEN(TRIM(Z76))&gt;0</formula>
    </cfRule>
    <cfRule type="containsText" dxfId="1739" priority="4655" operator="containsText" text="[adv]">
      <formula>NOT(ISERROR(SEARCH("[adv]",Z76)))</formula>
    </cfRule>
  </conditionalFormatting>
  <conditionalFormatting sqref="Z84:Z90">
    <cfRule type="notContainsBlanks" dxfId="1738" priority="9049">
      <formula>LEN(TRIM(Z84))&gt;0</formula>
    </cfRule>
  </conditionalFormatting>
  <conditionalFormatting sqref="Z92:Z98 Z421:Z456">
    <cfRule type="notContainsBlanks" dxfId="1737" priority="9311">
      <formula>LEN(TRIM(Z92))&gt;0</formula>
    </cfRule>
  </conditionalFormatting>
  <conditionalFormatting sqref="Z92:Z98">
    <cfRule type="notContainsBlanks" dxfId="1736" priority="9360">
      <formula>LEN(TRIM(Z92))&gt;0</formula>
    </cfRule>
  </conditionalFormatting>
  <conditionalFormatting sqref="Z100:Z106 Z108:Z114 Z116:Z122">
    <cfRule type="notContainsBlanks" dxfId="1735" priority="9002">
      <formula>LEN(TRIM(Z100))&gt;0</formula>
    </cfRule>
  </conditionalFormatting>
  <conditionalFormatting sqref="Z124:Z130 Z132:Z138 Z140:Z146">
    <cfRule type="notContainsBlanks" dxfId="1734" priority="8931">
      <formula>LEN(TRIM(Z124))&gt;0</formula>
    </cfRule>
  </conditionalFormatting>
  <conditionalFormatting sqref="Z148:Z154 Z156:Z162 Z164:Z170">
    <cfRule type="notContainsBlanks" dxfId="1733" priority="8861">
      <formula>LEN(TRIM(Z148))&gt;0</formula>
    </cfRule>
  </conditionalFormatting>
  <conditionalFormatting sqref="Z172:Z178 Z180:Z186 Z188:Z194 Z196:Z202">
    <cfRule type="notContainsBlanks" dxfId="1732" priority="8783">
      <formula>LEN(TRIM(Z172))&gt;0</formula>
    </cfRule>
  </conditionalFormatting>
  <conditionalFormatting sqref="Z204:Z210 Z212:Z218 Z220:Z226 Z228:Z234">
    <cfRule type="notContainsBlanks" dxfId="1731" priority="8691">
      <formula>LEN(TRIM(Z204))&gt;0</formula>
    </cfRule>
  </conditionalFormatting>
  <conditionalFormatting sqref="Z236:Z242 Z244:Z250 Z252:Z258 Z260:Z266">
    <cfRule type="notContainsBlanks" dxfId="1730" priority="8599">
      <formula>LEN(TRIM(Z236))&gt;0</formula>
    </cfRule>
  </conditionalFormatting>
  <conditionalFormatting sqref="Z268:Z274 Z276:Z282 Z284:Z290 Z292:Z298">
    <cfRule type="notContainsBlanks" dxfId="1729" priority="8507">
      <formula>LEN(TRIM(Z268))&gt;0</formula>
    </cfRule>
  </conditionalFormatting>
  <conditionalFormatting sqref="Z300:Z306 Z308:Z314 Z316:Z322 Z324:Z330">
    <cfRule type="notContainsBlanks" dxfId="1728" priority="8415">
      <formula>LEN(TRIM(Z300))&gt;0</formula>
    </cfRule>
  </conditionalFormatting>
  <conditionalFormatting sqref="Z308:Z314 V308:X314">
    <cfRule type="notContainsBlanks" dxfId="1727" priority="8401">
      <formula>LEN(TRIM(V308))&gt;0</formula>
    </cfRule>
  </conditionalFormatting>
  <conditionalFormatting sqref="Z332:Z338 Z340:Z346 Z348:Z354 Z356:Z362">
    <cfRule type="notContainsBlanks" dxfId="1726" priority="8323">
      <formula>LEN(TRIM(Z332))&gt;0</formula>
    </cfRule>
  </conditionalFormatting>
  <conditionalFormatting sqref="Z364:Z370 Z372:Z378 Z380:Z386 Z388:Z394">
    <cfRule type="notContainsBlanks" dxfId="1725" priority="8231">
      <formula>LEN(TRIM(Z364))&gt;0</formula>
    </cfRule>
  </conditionalFormatting>
  <conditionalFormatting sqref="Z396:Z402 V396:X402">
    <cfRule type="notContainsBlanks" dxfId="1724" priority="8142">
      <formula>LEN(TRIM(V396))&gt;0</formula>
    </cfRule>
    <cfRule type="cellIs" dxfId="1723" priority="8144" operator="equal">
      <formula>"HK*"</formula>
    </cfRule>
    <cfRule type="cellIs" dxfId="1722" priority="8145" operator="equal">
      <formula>"HK"</formula>
    </cfRule>
    <cfRule type="cellIs" dxfId="1721" priority="8147" operator="equal">
      <formula>"ID"</formula>
    </cfRule>
  </conditionalFormatting>
  <conditionalFormatting sqref="AB4:AB7">
    <cfRule type="cellIs" dxfId="1720" priority="3970" operator="equal">
      <formula>"ID+"</formula>
    </cfRule>
    <cfRule type="containsText" dxfId="1719" priority="3971" operator="containsText" text="[pluk]">
      <formula>NOT(ISERROR(SEARCH("[pluk]",AB4)))</formula>
    </cfRule>
    <cfRule type="cellIs" dxfId="1718" priority="3972" operator="equal">
      <formula>"HK*"</formula>
    </cfRule>
    <cfRule type="cellIs" dxfId="1717" priority="3973" operator="equal">
      <formula>"HK"</formula>
    </cfRule>
    <cfRule type="cellIs" dxfId="1716" priority="3974" operator="equal">
      <formula>"HK+"</formula>
    </cfRule>
    <cfRule type="cellIs" dxfId="1715" priority="3975" operator="equal">
      <formula>"ID"</formula>
    </cfRule>
    <cfRule type="cellIs" dxfId="1714" priority="3976" operator="equal">
      <formula>"ID*"</formula>
    </cfRule>
  </conditionalFormatting>
  <conditionalFormatting sqref="AB4:AB9">
    <cfRule type="containsText" dxfId="1713" priority="3984" operator="containsText" text="[pluk]">
      <formula>NOT(ISERROR(SEARCH("[pluk]",AB4)))</formula>
    </cfRule>
  </conditionalFormatting>
  <conditionalFormatting sqref="AB4:AB10 AB12:AB18 AB20:AB26 AB28:AB34 AB36:AB42 AB44:AB50 AB52:AB58 AB60:AB66 AB68:AB74 AB84:AB85 AB87:AB90 AB92:AB98 AB109:AB114 AB132:AB138 AB140:AB146 AB164:AB170 AB172:AB178 AB180:AB183 AB196:AB202 AB204:AB210 AB212:AB218 AB220:AB226 AB228:AB234 AB236:AB242 AB244:AB250 AB252:AB258 AB260:AB266 AB268:AB274 AB276:AB282 AB284:AB290 AB292:AB298 AB300:AB306 AB308:AB314 AB316:AB322 AB324:AB330 AB332:AB338 AB340:AB346 AB348:AB354 AB356:AB362 AB364:AB370 AB372:AB378 AB380:AB386 AB388:AB394 AB396:AB402 AB404:AB410 AB412:AB418">
    <cfRule type="containsText" dxfId="1712" priority="7980" operator="containsText" text="[adv]">
      <formula>NOT(ISERROR(SEARCH("[adv]",AB4)))</formula>
    </cfRule>
  </conditionalFormatting>
  <conditionalFormatting sqref="AB4:AB10 AB12:AB18 AB20:AB26 AB28:AB34 AB36:AB42 AB44:AB50 AB52:AB58 AB60:AB66 AB68:AB74 AB84:AB85 AB87:AB90 AB92:AB98 AB109:AB114 AB140:AB146 AB196:AB202 AB212:AB218 AB220:AB226 AB228:AB234 AB236:AB242 AB244:AB250 AB252:AB258 AB260:AB266 AB284:AB290 AB292:AB298 AB300:AB306 AB316:AB322 AB332:AB338 AB340:AB346 AB356:AB362 AB364:AB370 AB372:AB378 AB380:AB386 AB388:AB394 AB396:AB402 AB412:AB418 AB164:AB170 AB204:AB210 AB132:AB138 AB185:AB186 AB180:AB183 AB172:AB178 AB268:AB274 AB276:AB282 AB308:AB314 AB324:AB330 AB348:AB354 AB404:AB410">
    <cfRule type="cellIs" dxfId="1711" priority="7981" operator="equal">
      <formula>"LC*"</formula>
    </cfRule>
    <cfRule type="cellIs" dxfId="1710" priority="7982" operator="equal">
      <formula>"LC+"</formula>
    </cfRule>
    <cfRule type="cellIs" dxfId="1709" priority="7983" operator="equal">
      <formula>"LC"</formula>
    </cfRule>
  </conditionalFormatting>
  <conditionalFormatting sqref="AB4:AB10">
    <cfRule type="cellIs" dxfId="1708" priority="3985" operator="equal">
      <formula>"LC*"</formula>
    </cfRule>
    <cfRule type="cellIs" dxfId="1707" priority="3986" operator="equal">
      <formula>"LC+"</formula>
    </cfRule>
    <cfRule type="cellIs" dxfId="1706" priority="3987" operator="equal">
      <formula>"LC"</formula>
    </cfRule>
    <cfRule type="cellIs" dxfId="1705" priority="3988" operator="equal">
      <formula>"_"</formula>
    </cfRule>
    <cfRule type="containsText" dxfId="1704" priority="3989" operator="containsText" text="[adv]">
      <formula>NOT(ISERROR(SEARCH("[adv]",AB4)))</formula>
    </cfRule>
    <cfRule type="containsText" dxfId="1703" priority="3991" operator="containsText" text="[adv]">
      <formula>NOT(ISERROR(SEARCH("[adv]",AB4)))</formula>
    </cfRule>
  </conditionalFormatting>
  <conditionalFormatting sqref="AB4:AB102 AB110:AC110">
    <cfRule type="containsText" dxfId="1702" priority="7633" operator="containsText" text="[pluk]">
      <formula>NOT(ISERROR(SEARCH("[pluk]",AB4)))</formula>
    </cfRule>
  </conditionalFormatting>
  <conditionalFormatting sqref="AB8:AB10">
    <cfRule type="cellIs" dxfId="1701" priority="3977" operator="equal">
      <formula>"ID+"</formula>
    </cfRule>
    <cfRule type="containsText" dxfId="1700" priority="3978" operator="containsText" text="[pluk]">
      <formula>NOT(ISERROR(SEARCH("[pluk]",AB8)))</formula>
    </cfRule>
    <cfRule type="cellIs" dxfId="1699" priority="3979" operator="equal">
      <formula>"HK*"</formula>
    </cfRule>
    <cfRule type="cellIs" dxfId="1698" priority="3980" operator="equal">
      <formula>"HK"</formula>
    </cfRule>
    <cfRule type="cellIs" dxfId="1697" priority="3981" operator="equal">
      <formula>"HK+"</formula>
    </cfRule>
    <cfRule type="cellIs" dxfId="1696" priority="3982" operator="equal">
      <formula>"ID"</formula>
    </cfRule>
    <cfRule type="cellIs" dxfId="1695" priority="3983" operator="equal">
      <formula>"ID*"</formula>
    </cfRule>
  </conditionalFormatting>
  <conditionalFormatting sqref="AB10">
    <cfRule type="timePeriod" dxfId="1694" priority="3990" timePeriod="thisMonth">
      <formula>AND(MONTH(AB10)=MONTH(TODAY()),YEAR(AB10)=YEAR(TODAY()))</formula>
    </cfRule>
    <cfRule type="containsText" dxfId="1693" priority="3992" operator="containsText" text="[pluk]">
      <formula>NOT(ISERROR(SEARCH("[pluk]",AB10)))</formula>
    </cfRule>
    <cfRule type="cellIs" dxfId="1692" priority="3993" operator="equal">
      <formula>"_"</formula>
    </cfRule>
  </conditionalFormatting>
  <conditionalFormatting sqref="AB12:AB15">
    <cfRule type="cellIs" dxfId="1691" priority="3946" operator="equal">
      <formula>"ID+"</formula>
    </cfRule>
    <cfRule type="containsText" dxfId="1690" priority="3947" operator="containsText" text="[pluk]">
      <formula>NOT(ISERROR(SEARCH("[pluk]",AB12)))</formula>
    </cfRule>
    <cfRule type="cellIs" dxfId="1689" priority="3948" operator="equal">
      <formula>"HK*"</formula>
    </cfRule>
    <cfRule type="cellIs" dxfId="1688" priority="3949" operator="equal">
      <formula>"HK"</formula>
    </cfRule>
    <cfRule type="cellIs" dxfId="1687" priority="3950" operator="equal">
      <formula>"HK+"</formula>
    </cfRule>
    <cfRule type="cellIs" dxfId="1686" priority="3951" operator="equal">
      <formula>"ID"</formula>
    </cfRule>
    <cfRule type="cellIs" dxfId="1685" priority="3952" operator="equal">
      <formula>"ID*"</formula>
    </cfRule>
  </conditionalFormatting>
  <conditionalFormatting sqref="AB12:AB17">
    <cfRule type="containsText" dxfId="1684" priority="3960" operator="containsText" text="[pluk]">
      <formula>NOT(ISERROR(SEARCH("[pluk]",AB12)))</formula>
    </cfRule>
  </conditionalFormatting>
  <conditionalFormatting sqref="AB12:AB18">
    <cfRule type="cellIs" dxfId="1683" priority="3961" operator="equal">
      <formula>"LC*"</formula>
    </cfRule>
    <cfRule type="cellIs" dxfId="1682" priority="3962" operator="equal">
      <formula>"LC+"</formula>
    </cfRule>
    <cfRule type="cellIs" dxfId="1681" priority="3963" operator="equal">
      <formula>"LC"</formula>
    </cfRule>
    <cfRule type="cellIs" dxfId="1680" priority="3964" operator="equal">
      <formula>"_"</formula>
    </cfRule>
    <cfRule type="containsText" dxfId="1679" priority="3965" operator="containsText" text="[adv]">
      <formula>NOT(ISERROR(SEARCH("[adv]",AB12)))</formula>
    </cfRule>
    <cfRule type="containsText" dxfId="1678" priority="3967" operator="containsText" text="[adv]">
      <formula>NOT(ISERROR(SEARCH("[adv]",AB12)))</formula>
    </cfRule>
  </conditionalFormatting>
  <conditionalFormatting sqref="AB16:AB18">
    <cfRule type="cellIs" dxfId="1677" priority="3953" operator="equal">
      <formula>"ID+"</formula>
    </cfRule>
    <cfRule type="containsText" dxfId="1676" priority="3954" operator="containsText" text="[pluk]">
      <formula>NOT(ISERROR(SEARCH("[pluk]",AB16)))</formula>
    </cfRule>
    <cfRule type="cellIs" dxfId="1675" priority="3955" operator="equal">
      <formula>"HK*"</formula>
    </cfRule>
    <cfRule type="cellIs" dxfId="1674" priority="3956" operator="equal">
      <formula>"HK"</formula>
    </cfRule>
    <cfRule type="cellIs" dxfId="1673" priority="3957" operator="equal">
      <formula>"HK+"</formula>
    </cfRule>
    <cfRule type="cellIs" dxfId="1672" priority="3958" operator="equal">
      <formula>"ID"</formula>
    </cfRule>
    <cfRule type="cellIs" dxfId="1671" priority="3959" operator="equal">
      <formula>"ID*"</formula>
    </cfRule>
  </conditionalFormatting>
  <conditionalFormatting sqref="AB18">
    <cfRule type="timePeriod" dxfId="1670" priority="3966" timePeriod="thisMonth">
      <formula>AND(MONTH(AB18)=MONTH(TODAY()),YEAR(AB18)=YEAR(TODAY()))</formula>
    </cfRule>
    <cfRule type="containsText" dxfId="1669" priority="3968" operator="containsText" text="[pluk]">
      <formula>NOT(ISERROR(SEARCH("[pluk]",AB18)))</formula>
    </cfRule>
    <cfRule type="cellIs" dxfId="1668" priority="3969" operator="equal">
      <formula>"_"</formula>
    </cfRule>
  </conditionalFormatting>
  <conditionalFormatting sqref="AB20:AB23">
    <cfRule type="cellIs" dxfId="1667" priority="3922" operator="equal">
      <formula>"ID+"</formula>
    </cfRule>
    <cfRule type="containsText" dxfId="1666" priority="3923" operator="containsText" text="[pluk]">
      <formula>NOT(ISERROR(SEARCH("[pluk]",AB20)))</formula>
    </cfRule>
    <cfRule type="cellIs" dxfId="1665" priority="3924" operator="equal">
      <formula>"HK*"</formula>
    </cfRule>
    <cfRule type="cellIs" dxfId="1664" priority="3925" operator="equal">
      <formula>"HK"</formula>
    </cfRule>
    <cfRule type="cellIs" dxfId="1663" priority="3926" operator="equal">
      <formula>"HK+"</formula>
    </cfRule>
    <cfRule type="cellIs" dxfId="1662" priority="3927" operator="equal">
      <formula>"ID"</formula>
    </cfRule>
    <cfRule type="cellIs" dxfId="1661" priority="3928" operator="equal">
      <formula>"ID*"</formula>
    </cfRule>
  </conditionalFormatting>
  <conditionalFormatting sqref="AB20:AB25">
    <cfRule type="containsText" dxfId="1660" priority="3936" operator="containsText" text="[pluk]">
      <formula>NOT(ISERROR(SEARCH("[pluk]",AB20)))</formula>
    </cfRule>
  </conditionalFormatting>
  <conditionalFormatting sqref="AB20:AB26">
    <cfRule type="cellIs" dxfId="1659" priority="3937" operator="equal">
      <formula>"LC*"</formula>
    </cfRule>
    <cfRule type="cellIs" dxfId="1658" priority="3938" operator="equal">
      <formula>"LC+"</formula>
    </cfRule>
    <cfRule type="cellIs" dxfId="1657" priority="3939" operator="equal">
      <formula>"LC"</formula>
    </cfRule>
    <cfRule type="cellIs" dxfId="1656" priority="3940" operator="equal">
      <formula>"_"</formula>
    </cfRule>
    <cfRule type="containsText" dxfId="1655" priority="3941" operator="containsText" text="[adv]">
      <formula>NOT(ISERROR(SEARCH("[adv]",AB20)))</formula>
    </cfRule>
    <cfRule type="containsText" dxfId="1654" priority="3943" operator="containsText" text="[adv]">
      <formula>NOT(ISERROR(SEARCH("[adv]",AB20)))</formula>
    </cfRule>
  </conditionalFormatting>
  <conditionalFormatting sqref="AB24:AB26">
    <cfRule type="cellIs" dxfId="1653" priority="3929" operator="equal">
      <formula>"ID+"</formula>
    </cfRule>
    <cfRule type="containsText" dxfId="1652" priority="3930" operator="containsText" text="[pluk]">
      <formula>NOT(ISERROR(SEARCH("[pluk]",AB24)))</formula>
    </cfRule>
    <cfRule type="cellIs" dxfId="1651" priority="3931" operator="equal">
      <formula>"HK*"</formula>
    </cfRule>
    <cfRule type="cellIs" dxfId="1650" priority="3932" operator="equal">
      <formula>"HK"</formula>
    </cfRule>
    <cfRule type="cellIs" dxfId="1649" priority="3933" operator="equal">
      <formula>"HK+"</formula>
    </cfRule>
    <cfRule type="cellIs" dxfId="1648" priority="3934" operator="equal">
      <formula>"ID"</formula>
    </cfRule>
    <cfRule type="cellIs" dxfId="1647" priority="3935" operator="equal">
      <formula>"ID*"</formula>
    </cfRule>
  </conditionalFormatting>
  <conditionalFormatting sqref="AB26">
    <cfRule type="timePeriod" dxfId="1646" priority="3942" timePeriod="thisMonth">
      <formula>AND(MONTH(AB26)=MONTH(TODAY()),YEAR(AB26)=YEAR(TODAY()))</formula>
    </cfRule>
    <cfRule type="containsText" dxfId="1645" priority="3944" operator="containsText" text="[pluk]">
      <formula>NOT(ISERROR(SEARCH("[pluk]",AB26)))</formula>
    </cfRule>
    <cfRule type="cellIs" dxfId="1644" priority="3945" operator="equal">
      <formula>"_"</formula>
    </cfRule>
  </conditionalFormatting>
  <conditionalFormatting sqref="AB28:AB31">
    <cfRule type="cellIs" dxfId="1643" priority="3898" operator="equal">
      <formula>"ID+"</formula>
    </cfRule>
    <cfRule type="containsText" dxfId="1642" priority="3899" operator="containsText" text="[pluk]">
      <formula>NOT(ISERROR(SEARCH("[pluk]",AB28)))</formula>
    </cfRule>
    <cfRule type="cellIs" dxfId="1641" priority="3900" operator="equal">
      <formula>"HK*"</formula>
    </cfRule>
    <cfRule type="cellIs" dxfId="1640" priority="3901" operator="equal">
      <formula>"HK"</formula>
    </cfRule>
    <cfRule type="cellIs" dxfId="1639" priority="3902" operator="equal">
      <formula>"HK+"</formula>
    </cfRule>
    <cfRule type="cellIs" dxfId="1638" priority="3903" operator="equal">
      <formula>"ID"</formula>
    </cfRule>
    <cfRule type="cellIs" dxfId="1637" priority="3904" operator="equal">
      <formula>"ID*"</formula>
    </cfRule>
  </conditionalFormatting>
  <conditionalFormatting sqref="AB28:AB33">
    <cfRule type="containsText" dxfId="1636" priority="3912" operator="containsText" text="[pluk]">
      <formula>NOT(ISERROR(SEARCH("[pluk]",AB28)))</formula>
    </cfRule>
  </conditionalFormatting>
  <conditionalFormatting sqref="AB28:AB34">
    <cfRule type="cellIs" dxfId="1635" priority="3913" operator="equal">
      <formula>"LC*"</formula>
    </cfRule>
    <cfRule type="cellIs" dxfId="1634" priority="3914" operator="equal">
      <formula>"LC+"</formula>
    </cfRule>
    <cfRule type="cellIs" dxfId="1633" priority="3915" operator="equal">
      <formula>"LC"</formula>
    </cfRule>
    <cfRule type="cellIs" dxfId="1632" priority="3916" operator="equal">
      <formula>"_"</formula>
    </cfRule>
    <cfRule type="containsText" dxfId="1631" priority="3917" operator="containsText" text="[adv]">
      <formula>NOT(ISERROR(SEARCH("[adv]",AB28)))</formula>
    </cfRule>
    <cfRule type="containsText" dxfId="1630" priority="3919" operator="containsText" text="[adv]">
      <formula>NOT(ISERROR(SEARCH("[adv]",AB28)))</formula>
    </cfRule>
  </conditionalFormatting>
  <conditionalFormatting sqref="AB32:AB34">
    <cfRule type="cellIs" dxfId="1629" priority="3905" operator="equal">
      <formula>"ID+"</formula>
    </cfRule>
    <cfRule type="containsText" dxfId="1628" priority="3906" operator="containsText" text="[pluk]">
      <formula>NOT(ISERROR(SEARCH("[pluk]",AB32)))</formula>
    </cfRule>
    <cfRule type="cellIs" dxfId="1627" priority="3907" operator="equal">
      <formula>"HK*"</formula>
    </cfRule>
    <cfRule type="cellIs" dxfId="1626" priority="3908" operator="equal">
      <formula>"HK"</formula>
    </cfRule>
    <cfRule type="cellIs" dxfId="1625" priority="3909" operator="equal">
      <formula>"HK+"</formula>
    </cfRule>
    <cfRule type="cellIs" dxfId="1624" priority="3910" operator="equal">
      <formula>"ID"</formula>
    </cfRule>
    <cfRule type="cellIs" dxfId="1623" priority="3911" operator="equal">
      <formula>"ID*"</formula>
    </cfRule>
  </conditionalFormatting>
  <conditionalFormatting sqref="AB34">
    <cfRule type="timePeriod" dxfId="1622" priority="3918" timePeriod="thisMonth">
      <formula>AND(MONTH(AB34)=MONTH(TODAY()),YEAR(AB34)=YEAR(TODAY()))</formula>
    </cfRule>
    <cfRule type="containsText" dxfId="1621" priority="3920" operator="containsText" text="[pluk]">
      <formula>NOT(ISERROR(SEARCH("[pluk]",AB34)))</formula>
    </cfRule>
    <cfRule type="cellIs" dxfId="1620" priority="3921" operator="equal">
      <formula>"_"</formula>
    </cfRule>
  </conditionalFormatting>
  <conditionalFormatting sqref="AB36:AB39">
    <cfRule type="cellIs" dxfId="1619" priority="3878" operator="equal">
      <formula>"ID+"</formula>
    </cfRule>
    <cfRule type="containsText" dxfId="1618" priority="3879" operator="containsText" text="[pluk]">
      <formula>NOT(ISERROR(SEARCH("[pluk]",AB36)))</formula>
    </cfRule>
    <cfRule type="cellIs" dxfId="1617" priority="3880" operator="equal">
      <formula>"HK*"</formula>
    </cfRule>
    <cfRule type="cellIs" dxfId="1616" priority="3881" operator="equal">
      <formula>"HK"</formula>
    </cfRule>
    <cfRule type="cellIs" dxfId="1615" priority="3882" operator="equal">
      <formula>"HK+"</formula>
    </cfRule>
    <cfRule type="cellIs" dxfId="1614" priority="3883" operator="equal">
      <formula>"ID"</formula>
    </cfRule>
    <cfRule type="cellIs" dxfId="1613" priority="3884" operator="equal">
      <formula>"ID*"</formula>
    </cfRule>
  </conditionalFormatting>
  <conditionalFormatting sqref="AB36:AB41">
    <cfRule type="containsText" dxfId="1612" priority="3892" operator="containsText" text="[pluk]">
      <formula>NOT(ISERROR(SEARCH("[pluk]",AB36)))</formula>
    </cfRule>
  </conditionalFormatting>
  <conditionalFormatting sqref="AB36:AB42">
    <cfRule type="cellIs" dxfId="1611" priority="3893" operator="equal">
      <formula>"_"</formula>
    </cfRule>
    <cfRule type="containsText" dxfId="1610" priority="3894" operator="containsText" text="[adv]">
      <formula>NOT(ISERROR(SEARCH("[adv]",AB36)))</formula>
    </cfRule>
  </conditionalFormatting>
  <conditionalFormatting sqref="AB40:AB42">
    <cfRule type="cellIs" dxfId="1609" priority="3885" operator="equal">
      <formula>"ID+"</formula>
    </cfRule>
    <cfRule type="containsText" dxfId="1608" priority="3886" operator="containsText" text="[pluk]">
      <formula>NOT(ISERROR(SEARCH("[pluk]",AB40)))</formula>
    </cfRule>
    <cfRule type="cellIs" dxfId="1607" priority="3887" operator="equal">
      <formula>"HK*"</formula>
    </cfRule>
    <cfRule type="cellIs" dxfId="1606" priority="3888" operator="equal">
      <formula>"HK"</formula>
    </cfRule>
    <cfRule type="cellIs" dxfId="1605" priority="3889" operator="equal">
      <formula>"HK+"</formula>
    </cfRule>
    <cfRule type="cellIs" dxfId="1604" priority="3890" operator="equal">
      <formula>"ID"</formula>
    </cfRule>
    <cfRule type="cellIs" dxfId="1603" priority="3891" operator="equal">
      <formula>"ID*"</formula>
    </cfRule>
  </conditionalFormatting>
  <conditionalFormatting sqref="AB42">
    <cfRule type="timePeriod" dxfId="1602" priority="3895" timePeriod="thisMonth">
      <formula>AND(MONTH(AB42)=MONTH(TODAY()),YEAR(AB42)=YEAR(TODAY()))</formula>
    </cfRule>
    <cfRule type="containsText" dxfId="1601" priority="3896" operator="containsText" text="[pluk]">
      <formula>NOT(ISERROR(SEARCH("[pluk]",AB42)))</formula>
    </cfRule>
    <cfRule type="cellIs" dxfId="1600" priority="3897" operator="equal">
      <formula>"_"</formula>
    </cfRule>
  </conditionalFormatting>
  <conditionalFormatting sqref="AB44:AB47">
    <cfRule type="cellIs" dxfId="1599" priority="3854" operator="equal">
      <formula>"ID+"</formula>
    </cfRule>
    <cfRule type="containsText" dxfId="1598" priority="3855" operator="containsText" text="[pluk]">
      <formula>NOT(ISERROR(SEARCH("[pluk]",AB44)))</formula>
    </cfRule>
    <cfRule type="cellIs" dxfId="1597" priority="3856" operator="equal">
      <formula>"HK*"</formula>
    </cfRule>
    <cfRule type="cellIs" dxfId="1596" priority="3857" operator="equal">
      <formula>"HK"</formula>
    </cfRule>
    <cfRule type="cellIs" dxfId="1595" priority="3858" operator="equal">
      <formula>"HK+"</formula>
    </cfRule>
    <cfRule type="cellIs" dxfId="1594" priority="3859" operator="equal">
      <formula>"ID"</formula>
    </cfRule>
    <cfRule type="cellIs" dxfId="1593" priority="3860" operator="equal">
      <formula>"ID*"</formula>
    </cfRule>
  </conditionalFormatting>
  <conditionalFormatting sqref="AB44:AB49">
    <cfRule type="containsText" dxfId="1592" priority="3868" operator="containsText" text="[pluk]">
      <formula>NOT(ISERROR(SEARCH("[pluk]",AB44)))</formula>
    </cfRule>
  </conditionalFormatting>
  <conditionalFormatting sqref="AB44:AB50">
    <cfRule type="cellIs" dxfId="1591" priority="3869" operator="equal">
      <formula>"LC*"</formula>
    </cfRule>
    <cfRule type="cellIs" dxfId="1590" priority="3870" operator="equal">
      <formula>"LC+"</formula>
    </cfRule>
    <cfRule type="cellIs" dxfId="1589" priority="3871" operator="equal">
      <formula>"LC"</formula>
    </cfRule>
    <cfRule type="cellIs" dxfId="1588" priority="3872" operator="equal">
      <formula>"_"</formula>
    </cfRule>
    <cfRule type="containsText" dxfId="1587" priority="3873" operator="containsText" text="[adv]">
      <formula>NOT(ISERROR(SEARCH("[adv]",AB44)))</formula>
    </cfRule>
    <cfRule type="containsText" dxfId="1586" priority="3875" operator="containsText" text="[adv]">
      <formula>NOT(ISERROR(SEARCH("[adv]",AB44)))</formula>
    </cfRule>
  </conditionalFormatting>
  <conditionalFormatting sqref="AB48:AB50">
    <cfRule type="cellIs" dxfId="1585" priority="3861" operator="equal">
      <formula>"ID+"</formula>
    </cfRule>
    <cfRule type="containsText" dxfId="1584" priority="3862" operator="containsText" text="[pluk]">
      <formula>NOT(ISERROR(SEARCH("[pluk]",AB48)))</formula>
    </cfRule>
    <cfRule type="cellIs" dxfId="1583" priority="3863" operator="equal">
      <formula>"HK*"</formula>
    </cfRule>
    <cfRule type="cellIs" dxfId="1582" priority="3864" operator="equal">
      <formula>"HK"</formula>
    </cfRule>
    <cfRule type="cellIs" dxfId="1581" priority="3865" operator="equal">
      <formula>"HK+"</formula>
    </cfRule>
    <cfRule type="cellIs" dxfId="1580" priority="3866" operator="equal">
      <formula>"ID"</formula>
    </cfRule>
    <cfRule type="cellIs" dxfId="1579" priority="3867" operator="equal">
      <formula>"ID*"</formula>
    </cfRule>
  </conditionalFormatting>
  <conditionalFormatting sqref="AB50">
    <cfRule type="timePeriod" dxfId="1578" priority="3874" timePeriod="thisMonth">
      <formula>AND(MONTH(AB50)=MONTH(TODAY()),YEAR(AB50)=YEAR(TODAY()))</formula>
    </cfRule>
    <cfRule type="containsText" dxfId="1577" priority="3876" operator="containsText" text="[pluk]">
      <formula>NOT(ISERROR(SEARCH("[pluk]",AB50)))</formula>
    </cfRule>
    <cfRule type="cellIs" dxfId="1576" priority="3877" operator="equal">
      <formula>"_"</formula>
    </cfRule>
  </conditionalFormatting>
  <conditionalFormatting sqref="AB52:AB55">
    <cfRule type="cellIs" dxfId="1575" priority="3830" operator="equal">
      <formula>"ID+"</formula>
    </cfRule>
    <cfRule type="containsText" dxfId="1574" priority="3831" operator="containsText" text="[pluk]">
      <formula>NOT(ISERROR(SEARCH("[pluk]",AB52)))</formula>
    </cfRule>
    <cfRule type="cellIs" dxfId="1573" priority="3832" operator="equal">
      <formula>"HK*"</formula>
    </cfRule>
    <cfRule type="cellIs" dxfId="1572" priority="3833" operator="equal">
      <formula>"HK"</formula>
    </cfRule>
    <cfRule type="cellIs" dxfId="1571" priority="3834" operator="equal">
      <formula>"HK+"</formula>
    </cfRule>
    <cfRule type="cellIs" dxfId="1570" priority="3835" operator="equal">
      <formula>"ID"</formula>
    </cfRule>
    <cfRule type="cellIs" dxfId="1569" priority="3836" operator="equal">
      <formula>"ID*"</formula>
    </cfRule>
  </conditionalFormatting>
  <conditionalFormatting sqref="AB52:AB57">
    <cfRule type="containsText" dxfId="1568" priority="3844" operator="containsText" text="[pluk]">
      <formula>NOT(ISERROR(SEARCH("[pluk]",AB52)))</formula>
    </cfRule>
  </conditionalFormatting>
  <conditionalFormatting sqref="AB52:AB58">
    <cfRule type="cellIs" dxfId="1567" priority="3845" operator="equal">
      <formula>"LC*"</formula>
    </cfRule>
    <cfRule type="cellIs" dxfId="1566" priority="3846" operator="equal">
      <formula>"LC+"</formula>
    </cfRule>
    <cfRule type="cellIs" dxfId="1565" priority="3847" operator="equal">
      <formula>"LC"</formula>
    </cfRule>
    <cfRule type="cellIs" dxfId="1564" priority="3848" operator="equal">
      <formula>"_"</formula>
    </cfRule>
    <cfRule type="containsText" dxfId="1563" priority="3849" operator="containsText" text="[adv]">
      <formula>NOT(ISERROR(SEARCH("[adv]",AB52)))</formula>
    </cfRule>
    <cfRule type="containsText" dxfId="1562" priority="3851" operator="containsText" text="[adv]">
      <formula>NOT(ISERROR(SEARCH("[adv]",AB52)))</formula>
    </cfRule>
  </conditionalFormatting>
  <conditionalFormatting sqref="AB56:AB58">
    <cfRule type="cellIs" dxfId="1561" priority="3837" operator="equal">
      <formula>"ID+"</formula>
    </cfRule>
    <cfRule type="containsText" dxfId="1560" priority="3838" operator="containsText" text="[pluk]">
      <formula>NOT(ISERROR(SEARCH("[pluk]",AB56)))</formula>
    </cfRule>
    <cfRule type="cellIs" dxfId="1559" priority="3839" operator="equal">
      <formula>"HK*"</formula>
    </cfRule>
    <cfRule type="cellIs" dxfId="1558" priority="3840" operator="equal">
      <formula>"HK"</formula>
    </cfRule>
    <cfRule type="cellIs" dxfId="1557" priority="3841" operator="equal">
      <formula>"HK+"</formula>
    </cfRule>
    <cfRule type="cellIs" dxfId="1556" priority="3842" operator="equal">
      <formula>"ID"</formula>
    </cfRule>
    <cfRule type="cellIs" dxfId="1555" priority="3843" operator="equal">
      <formula>"ID*"</formula>
    </cfRule>
  </conditionalFormatting>
  <conditionalFormatting sqref="AB58">
    <cfRule type="timePeriod" dxfId="1554" priority="3850" timePeriod="thisMonth">
      <formula>AND(MONTH(AB58)=MONTH(TODAY()),YEAR(AB58)=YEAR(TODAY()))</formula>
    </cfRule>
    <cfRule type="containsText" dxfId="1553" priority="3852" operator="containsText" text="[pluk]">
      <formula>NOT(ISERROR(SEARCH("[pluk]",AB58)))</formula>
    </cfRule>
    <cfRule type="cellIs" dxfId="1552" priority="3853" operator="equal">
      <formula>"_"</formula>
    </cfRule>
  </conditionalFormatting>
  <conditionalFormatting sqref="AB60:AB63">
    <cfRule type="cellIs" dxfId="1551" priority="3806" operator="equal">
      <formula>"ID+"</formula>
    </cfRule>
    <cfRule type="containsText" dxfId="1550" priority="3807" operator="containsText" text="[pluk]">
      <formula>NOT(ISERROR(SEARCH("[pluk]",AB60)))</formula>
    </cfRule>
    <cfRule type="cellIs" dxfId="1549" priority="3808" operator="equal">
      <formula>"HK*"</formula>
    </cfRule>
    <cfRule type="cellIs" dxfId="1548" priority="3809" operator="equal">
      <formula>"HK"</formula>
    </cfRule>
    <cfRule type="cellIs" dxfId="1547" priority="3810" operator="equal">
      <formula>"HK+"</formula>
    </cfRule>
    <cfRule type="cellIs" dxfId="1546" priority="3811" operator="equal">
      <formula>"ID"</formula>
    </cfRule>
    <cfRule type="cellIs" dxfId="1545" priority="3812" operator="equal">
      <formula>"ID*"</formula>
    </cfRule>
  </conditionalFormatting>
  <conditionalFormatting sqref="AB60:AB65">
    <cfRule type="containsText" dxfId="1544" priority="3820" operator="containsText" text="[pluk]">
      <formula>NOT(ISERROR(SEARCH("[pluk]",AB60)))</formula>
    </cfRule>
  </conditionalFormatting>
  <conditionalFormatting sqref="AB60:AB66">
    <cfRule type="cellIs" dxfId="1543" priority="3821" operator="equal">
      <formula>"LC*"</formula>
    </cfRule>
    <cfRule type="cellIs" dxfId="1542" priority="3822" operator="equal">
      <formula>"LC+"</formula>
    </cfRule>
    <cfRule type="cellIs" dxfId="1541" priority="3823" operator="equal">
      <formula>"LC"</formula>
    </cfRule>
    <cfRule type="cellIs" dxfId="1540" priority="3824" operator="equal">
      <formula>"_"</formula>
    </cfRule>
    <cfRule type="containsText" dxfId="1539" priority="3825" operator="containsText" text="[adv]">
      <formula>NOT(ISERROR(SEARCH("[adv]",AB60)))</formula>
    </cfRule>
    <cfRule type="containsText" dxfId="1538" priority="3827" operator="containsText" text="[adv]">
      <formula>NOT(ISERROR(SEARCH("[adv]",AB60)))</formula>
    </cfRule>
  </conditionalFormatting>
  <conditionalFormatting sqref="AB64:AB66">
    <cfRule type="cellIs" dxfId="1537" priority="3813" operator="equal">
      <formula>"ID+"</formula>
    </cfRule>
    <cfRule type="containsText" dxfId="1536" priority="3814" operator="containsText" text="[pluk]">
      <formula>NOT(ISERROR(SEARCH("[pluk]",AB64)))</formula>
    </cfRule>
    <cfRule type="cellIs" dxfId="1535" priority="3815" operator="equal">
      <formula>"HK*"</formula>
    </cfRule>
    <cfRule type="cellIs" dxfId="1534" priority="3816" operator="equal">
      <formula>"HK"</formula>
    </cfRule>
    <cfRule type="cellIs" dxfId="1533" priority="3817" operator="equal">
      <formula>"HK+"</formula>
    </cfRule>
    <cfRule type="cellIs" dxfId="1532" priority="3818" operator="equal">
      <formula>"ID"</formula>
    </cfRule>
    <cfRule type="cellIs" dxfId="1531" priority="3819" operator="equal">
      <formula>"ID*"</formula>
    </cfRule>
  </conditionalFormatting>
  <conditionalFormatting sqref="AB66">
    <cfRule type="timePeriod" dxfId="1530" priority="3826" timePeriod="thisMonth">
      <formula>AND(MONTH(AB66)=MONTH(TODAY()),YEAR(AB66)=YEAR(TODAY()))</formula>
    </cfRule>
    <cfRule type="containsText" dxfId="1529" priority="3828" operator="containsText" text="[pluk]">
      <formula>NOT(ISERROR(SEARCH("[pluk]",AB66)))</formula>
    </cfRule>
    <cfRule type="cellIs" dxfId="1528" priority="3829" operator="equal">
      <formula>"_"</formula>
    </cfRule>
  </conditionalFormatting>
  <conditionalFormatting sqref="AB68:AB71">
    <cfRule type="cellIs" dxfId="1527" priority="3782" operator="equal">
      <formula>"ID+"</formula>
    </cfRule>
    <cfRule type="containsText" dxfId="1526" priority="3783" operator="containsText" text="[pluk]">
      <formula>NOT(ISERROR(SEARCH("[pluk]",AB68)))</formula>
    </cfRule>
    <cfRule type="cellIs" dxfId="1525" priority="3784" operator="equal">
      <formula>"HK*"</formula>
    </cfRule>
    <cfRule type="cellIs" dxfId="1524" priority="3785" operator="equal">
      <formula>"HK"</formula>
    </cfRule>
    <cfRule type="cellIs" dxfId="1523" priority="3786" operator="equal">
      <formula>"HK+"</formula>
    </cfRule>
    <cfRule type="cellIs" dxfId="1522" priority="3787" operator="equal">
      <formula>"ID"</formula>
    </cfRule>
    <cfRule type="cellIs" dxfId="1521" priority="3788" operator="equal">
      <formula>"ID*"</formula>
    </cfRule>
  </conditionalFormatting>
  <conditionalFormatting sqref="AB68:AB73">
    <cfRule type="containsText" dxfId="1520" priority="3796" operator="containsText" text="[pluk]">
      <formula>NOT(ISERROR(SEARCH("[pluk]",AB68)))</formula>
    </cfRule>
  </conditionalFormatting>
  <conditionalFormatting sqref="AB68:AB74">
    <cfRule type="cellIs" dxfId="1519" priority="3797" operator="equal">
      <formula>"LC*"</formula>
    </cfRule>
    <cfRule type="cellIs" dxfId="1518" priority="3798" operator="equal">
      <formula>"LC+"</formula>
    </cfRule>
    <cfRule type="cellIs" dxfId="1517" priority="3799" operator="equal">
      <formula>"LC"</formula>
    </cfRule>
    <cfRule type="cellIs" dxfId="1516" priority="3800" operator="equal">
      <formula>"_"</formula>
    </cfRule>
    <cfRule type="containsText" dxfId="1515" priority="3801" operator="containsText" text="[adv]">
      <formula>NOT(ISERROR(SEARCH("[adv]",AB68)))</formula>
    </cfRule>
    <cfRule type="containsText" dxfId="1514" priority="3803" operator="containsText" text="[adv]">
      <formula>NOT(ISERROR(SEARCH("[adv]",AB68)))</formula>
    </cfRule>
  </conditionalFormatting>
  <conditionalFormatting sqref="AB72:AB74">
    <cfRule type="cellIs" dxfId="1513" priority="3789" operator="equal">
      <formula>"ID+"</formula>
    </cfRule>
    <cfRule type="containsText" dxfId="1512" priority="3790" operator="containsText" text="[pluk]">
      <formula>NOT(ISERROR(SEARCH("[pluk]",AB72)))</formula>
    </cfRule>
    <cfRule type="cellIs" dxfId="1511" priority="3791" operator="equal">
      <formula>"HK*"</formula>
    </cfRule>
    <cfRule type="cellIs" dxfId="1510" priority="3792" operator="equal">
      <formula>"HK"</formula>
    </cfRule>
    <cfRule type="cellIs" dxfId="1509" priority="3793" operator="equal">
      <formula>"HK+"</formula>
    </cfRule>
    <cfRule type="cellIs" dxfId="1508" priority="3794" operator="equal">
      <formula>"ID"</formula>
    </cfRule>
    <cfRule type="cellIs" dxfId="1507" priority="3795" operator="equal">
      <formula>"ID*"</formula>
    </cfRule>
  </conditionalFormatting>
  <conditionalFormatting sqref="AB74">
    <cfRule type="timePeriod" dxfId="1506" priority="3802" timePeriod="thisMonth">
      <formula>AND(MONTH(AB74)=MONTH(TODAY()),YEAR(AB74)=YEAR(TODAY()))</formula>
    </cfRule>
    <cfRule type="containsText" dxfId="1505" priority="3804" operator="containsText" text="[pluk]">
      <formula>NOT(ISERROR(SEARCH("[pluk]",AB74)))</formula>
    </cfRule>
    <cfRule type="cellIs" dxfId="1504" priority="3805" operator="equal">
      <formula>"_"</formula>
    </cfRule>
  </conditionalFormatting>
  <conditionalFormatting sqref="AB76:AB82">
    <cfRule type="cellIs" dxfId="1503" priority="4781" operator="equal">
      <formula>"ID+"</formula>
    </cfRule>
    <cfRule type="containsText" dxfId="1502" priority="4782" operator="containsText" text="[pluk]">
      <formula>NOT(ISERROR(SEARCH("[pluk]",AB76)))</formula>
    </cfRule>
    <cfRule type="cellIs" dxfId="1501" priority="4783" operator="equal">
      <formula>"HK*"</formula>
    </cfRule>
    <cfRule type="cellIs" dxfId="1500" priority="4784" operator="equal">
      <formula>"HK"</formula>
    </cfRule>
    <cfRule type="cellIs" dxfId="1499" priority="4785" operator="equal">
      <formula>"HK+"</formula>
    </cfRule>
    <cfRule type="cellIs" dxfId="1498" priority="4786" operator="equal">
      <formula>"ID"</formula>
    </cfRule>
    <cfRule type="cellIs" dxfId="1497" priority="4787" operator="equal">
      <formula>"ID*"</formula>
    </cfRule>
    <cfRule type="cellIs" dxfId="1496" priority="4788" operator="equal">
      <formula>"_"</formula>
    </cfRule>
  </conditionalFormatting>
  <conditionalFormatting sqref="AB79">
    <cfRule type="containsText" dxfId="1495" priority="4780" operator="containsText" text="[adv]">
      <formula>NOT(ISERROR(SEARCH("[adv]",AB79)))</formula>
    </cfRule>
  </conditionalFormatting>
  <conditionalFormatting sqref="AB104:AB106 AB108">
    <cfRule type="containsText" dxfId="1494" priority="7477" operator="containsText" text="[adv]">
      <formula>NOT(ISERROR(SEARCH("[adv]",AB104)))</formula>
    </cfRule>
    <cfRule type="cellIs" dxfId="1493" priority="7485" operator="equal">
      <formula>"HK+"</formula>
    </cfRule>
    <cfRule type="cellIs" dxfId="1492" priority="7487" operator="equal">
      <formula>"ID*"</formula>
    </cfRule>
  </conditionalFormatting>
  <conditionalFormatting sqref="AB107">
    <cfRule type="containsText" dxfId="1491" priority="2705" operator="containsText" text="[adv]">
      <formula>NOT(ISERROR(SEARCH("[adv]",AB107)))</formula>
    </cfRule>
    <cfRule type="containsText" dxfId="1490" priority="2706" operator="containsText" text="[pluk]">
      <formula>NOT(ISERROR(SEARCH("[pluk]",AB107)))</formula>
    </cfRule>
    <cfRule type="cellIs" dxfId="1489" priority="2718" operator="equal">
      <formula>"HK+"</formula>
    </cfRule>
    <cfRule type="cellIs" dxfId="1488" priority="2719" operator="equal">
      <formula>"ID*"</formula>
    </cfRule>
  </conditionalFormatting>
  <conditionalFormatting sqref="AB108 AB104:AB106">
    <cfRule type="containsText" dxfId="1487" priority="7482" operator="containsText" text="[pluk]">
      <formula>NOT(ISERROR(SEARCH("[pluk]",AB104)))</formula>
    </cfRule>
  </conditionalFormatting>
  <conditionalFormatting sqref="AB108">
    <cfRule type="cellIs" dxfId="1486" priority="7478" operator="equal">
      <formula>"LC*"</formula>
    </cfRule>
    <cfRule type="cellIs" dxfId="1485" priority="7479" operator="equal">
      <formula>"LC+"</formula>
    </cfRule>
    <cfRule type="cellIs" dxfId="1484" priority="7480" operator="equal">
      <formula>"LC"</formula>
    </cfRule>
    <cfRule type="cellIs" dxfId="1483" priority="7481" operator="equal">
      <formula>"ID+"</formula>
    </cfRule>
    <cfRule type="cellIs" dxfId="1482" priority="7483" operator="equal">
      <formula>"HK*"</formula>
    </cfRule>
    <cfRule type="cellIs" dxfId="1481" priority="7484" operator="equal">
      <formula>"HK"</formula>
    </cfRule>
    <cfRule type="cellIs" dxfId="1480" priority="7486" operator="equal">
      <formula>"ID"</formula>
    </cfRule>
    <cfRule type="cellIs" dxfId="1479" priority="7488" operator="equal">
      <formula>"_"</formula>
    </cfRule>
  </conditionalFormatting>
  <conditionalFormatting sqref="AB109:AB114 AB121:AB122 AB128:AB130 E408 E12:E16 E18:E26 AB116:AB119 AB124:AB126 E121:E128 AB132:AB138 AB140:AB146 AB148:AB154 AB156:AB162 AB164:AB170 AB172:AB178 AB180:AB186 AB188:AB194 AB196:AB202 E130:E199 AB204:AB210 AB212:AB218 AB220:AB226 AB228:AB234 AB236:AB242 AB244:AB250 AB252:AB258 AB260:AB266 AB268:AB274 AB276:AB282 AB284:AB290 AB292:AB298 AB300:AB306 AB308:AB314 AB316:AB322 AB324:AB330 AB332:AB338 AB340:AB346 AB348:AB354 AB356:AB362 AB364:AB370 AB372:AB378 AB380:AB386 AB388:AB394 AB396:AB402 AB404:AB410 E201:E405 AB412:AB419 E410:E419 E28:E119">
    <cfRule type="cellIs" dxfId="1478" priority="8010" operator="equal">
      <formula>"HK*"</formula>
    </cfRule>
    <cfRule type="cellIs" dxfId="1477" priority="8011" operator="equal">
      <formula>"HK"</formula>
    </cfRule>
    <cfRule type="cellIs" dxfId="1476" priority="8013" operator="equal">
      <formula>"ID"</formula>
    </cfRule>
  </conditionalFormatting>
  <conditionalFormatting sqref="AB110 AB4:AB102">
    <cfRule type="containsText" dxfId="1475" priority="7632" operator="containsText" text="[adv]">
      <formula>NOT(ISERROR(SEARCH("[adv]",AB4)))</formula>
    </cfRule>
  </conditionalFormatting>
  <conditionalFormatting sqref="AB110 AB103:AC106 AB4:AB102 AB107">
    <cfRule type="cellIs" dxfId="1474" priority="7634" operator="equal">
      <formula>"_"</formula>
    </cfRule>
  </conditionalFormatting>
  <conditionalFormatting sqref="AB115">
    <cfRule type="containsText" dxfId="1473" priority="2680" operator="containsText" text="[adv]">
      <formula>NOT(ISERROR(SEARCH("[adv]",AB115)))</formula>
    </cfRule>
    <cfRule type="containsText" dxfId="1472" priority="2681" operator="containsText" text="[pluk]">
      <formula>NOT(ISERROR(SEARCH("[pluk]",AB115)))</formula>
    </cfRule>
    <cfRule type="cellIs" dxfId="1471" priority="2682" operator="equal">
      <formula>"_"</formula>
    </cfRule>
    <cfRule type="cellIs" dxfId="1470" priority="2698" operator="equal">
      <formula>"HK*"</formula>
    </cfRule>
    <cfRule type="cellIs" dxfId="1469" priority="2699" operator="equal">
      <formula>"HK"</formula>
    </cfRule>
    <cfRule type="cellIs" dxfId="1468" priority="2700" operator="equal">
      <formula>"HK+"</formula>
    </cfRule>
    <cfRule type="cellIs" dxfId="1467" priority="2701" operator="equal">
      <formula>"ID"</formula>
    </cfRule>
    <cfRule type="cellIs" dxfId="1466" priority="2702" operator="equal">
      <formula>"ID*"</formula>
    </cfRule>
  </conditionalFormatting>
  <conditionalFormatting sqref="AB118">
    <cfRule type="containsText" dxfId="1465" priority="7444" operator="containsText" text="[adv]">
      <formula>NOT(ISERROR(SEARCH("[adv]",AB118)))</formula>
    </cfRule>
    <cfRule type="cellIs" dxfId="1464" priority="7446" operator="equal">
      <formula>"_"</formula>
    </cfRule>
    <cfRule type="cellIs" dxfId="1463" priority="7448" operator="equal">
      <formula>"ID+"</formula>
    </cfRule>
    <cfRule type="cellIs" dxfId="1462" priority="7449" operator="equal">
      <formula>"HK*"</formula>
    </cfRule>
    <cfRule type="cellIs" dxfId="1461" priority="7450" operator="equal">
      <formula>"HK"</formula>
    </cfRule>
    <cfRule type="cellIs" dxfId="1460" priority="7451" operator="equal">
      <formula>"HK+"</formula>
    </cfRule>
    <cfRule type="cellIs" dxfId="1459" priority="7452" operator="equal">
      <formula>"ID"</formula>
    </cfRule>
    <cfRule type="cellIs" dxfId="1458" priority="7453" operator="equal">
      <formula>"ID*"</formula>
    </cfRule>
    <cfRule type="cellIs" dxfId="1457" priority="7454" operator="equal">
      <formula>"LC*"</formula>
    </cfRule>
    <cfRule type="cellIs" dxfId="1456" priority="7455" operator="equal">
      <formula>"LC+"</formula>
    </cfRule>
    <cfRule type="cellIs" dxfId="1455" priority="7456" operator="equal">
      <formula>"LC"</formula>
    </cfRule>
  </conditionalFormatting>
  <conditionalFormatting sqref="AB121:AB122 AB124:AB126">
    <cfRule type="cellIs" dxfId="1454" priority="7393" operator="equal">
      <formula>"ID+"</formula>
    </cfRule>
  </conditionalFormatting>
  <conditionalFormatting sqref="AB123">
    <cfRule type="containsText" dxfId="1453" priority="2654" operator="containsText" text="[adv]">
      <formula>NOT(ISERROR(SEARCH("[adv]",AB123)))</formula>
    </cfRule>
    <cfRule type="containsText" dxfId="1452" priority="2655" operator="containsText" text="[pluk]">
      <formula>NOT(ISERROR(SEARCH("[pluk]",AB123)))</formula>
    </cfRule>
    <cfRule type="cellIs" dxfId="1451" priority="2656" operator="equal">
      <formula>"_"</formula>
    </cfRule>
    <cfRule type="cellIs" dxfId="1450" priority="2671" operator="equal">
      <formula>"ID+"</formula>
    </cfRule>
    <cfRule type="cellIs" dxfId="1449" priority="2672" operator="equal">
      <formula>"HK*"</formula>
    </cfRule>
    <cfRule type="cellIs" dxfId="1448" priority="2673" operator="equal">
      <formula>"HK"</formula>
    </cfRule>
    <cfRule type="cellIs" dxfId="1447" priority="2674" operator="equal">
      <formula>"HK+"</formula>
    </cfRule>
    <cfRule type="cellIs" dxfId="1446" priority="2675" operator="equal">
      <formula>"ID"</formula>
    </cfRule>
    <cfRule type="cellIs" dxfId="1445" priority="2676" operator="equal">
      <formula>"ID*"</formula>
    </cfRule>
  </conditionalFormatting>
  <conditionalFormatting sqref="AB126">
    <cfRule type="containsText" dxfId="1444" priority="7390" operator="containsText" text="[adv]">
      <formula>NOT(ISERROR(SEARCH("[adv]",AB126)))</formula>
    </cfRule>
    <cfRule type="containsText" dxfId="1443" priority="7391" operator="containsText" text="[pluk]">
      <formula>NOT(ISERROR(SEARCH("[pluk]",AB126)))</formula>
    </cfRule>
    <cfRule type="cellIs" dxfId="1442" priority="7392" operator="equal">
      <formula>"_"</formula>
    </cfRule>
    <cfRule type="cellIs" dxfId="1441" priority="7394" operator="equal">
      <formula>"HK*"</formula>
    </cfRule>
    <cfRule type="cellIs" dxfId="1440" priority="7395" operator="equal">
      <formula>"HK"</formula>
    </cfRule>
    <cfRule type="cellIs" dxfId="1439" priority="7396" operator="equal">
      <formula>"HK+"</formula>
    </cfRule>
    <cfRule type="cellIs" dxfId="1438" priority="7397" operator="equal">
      <formula>"ID"</formula>
    </cfRule>
    <cfRule type="cellIs" dxfId="1437" priority="7398" operator="equal">
      <formula>"ID*"</formula>
    </cfRule>
    <cfRule type="cellIs" dxfId="1436" priority="7399" operator="equal">
      <formula>"LC*"</formula>
    </cfRule>
    <cfRule type="cellIs" dxfId="1435" priority="7400" operator="equal">
      <formula>"LC+"</formula>
    </cfRule>
    <cfRule type="cellIs" dxfId="1434" priority="7401" operator="equal">
      <formula>"LC"</formula>
    </cfRule>
  </conditionalFormatting>
  <conditionalFormatting sqref="AB131">
    <cfRule type="containsText" dxfId="1433" priority="2628" operator="containsText" text="[adv]">
      <formula>NOT(ISERROR(SEARCH("[adv]",AB131)))</formula>
    </cfRule>
    <cfRule type="containsText" dxfId="1432" priority="2629" operator="containsText" text="[pluk]">
      <formula>NOT(ISERROR(SEARCH("[pluk]",AB131)))</formula>
    </cfRule>
    <cfRule type="cellIs" dxfId="1431" priority="2630" operator="equal">
      <formula>"_"</formula>
    </cfRule>
    <cfRule type="cellIs" dxfId="1430" priority="2645" operator="equal">
      <formula>"ID+"</formula>
    </cfRule>
    <cfRule type="cellIs" dxfId="1429" priority="2646" operator="equal">
      <formula>"HK*"</formula>
    </cfRule>
    <cfRule type="cellIs" dxfId="1428" priority="2647" operator="equal">
      <formula>"HK"</formula>
    </cfRule>
    <cfRule type="cellIs" dxfId="1427" priority="2648" operator="equal">
      <formula>"HK+"</formula>
    </cfRule>
    <cfRule type="cellIs" dxfId="1426" priority="2649" operator="equal">
      <formula>"ID"</formula>
    </cfRule>
    <cfRule type="cellIs" dxfId="1425" priority="2650" operator="equal">
      <formula>"ID*"</formula>
    </cfRule>
  </conditionalFormatting>
  <conditionalFormatting sqref="AB134">
    <cfRule type="containsText" dxfId="1424" priority="7359" operator="containsText" text="[adv]">
      <formula>NOT(ISERROR(SEARCH("[adv]",AB134)))</formula>
    </cfRule>
    <cfRule type="containsText" dxfId="1423" priority="7360" operator="containsText" text="[pluk]">
      <formula>NOT(ISERROR(SEARCH("[pluk]",AB134)))</formula>
    </cfRule>
    <cfRule type="cellIs" dxfId="1422" priority="7362" operator="equal">
      <formula>"ID+"</formula>
    </cfRule>
    <cfRule type="cellIs" dxfId="1421" priority="7363" operator="equal">
      <formula>"HK*"</formula>
    </cfRule>
    <cfRule type="cellIs" dxfId="1420" priority="7364" operator="equal">
      <formula>"HK"</formula>
    </cfRule>
    <cfRule type="cellIs" dxfId="1419" priority="7365" operator="equal">
      <formula>"HK+"</formula>
    </cfRule>
    <cfRule type="cellIs" dxfId="1418" priority="7366" operator="equal">
      <formula>"ID"</formula>
    </cfRule>
    <cfRule type="cellIs" dxfId="1417" priority="7367" operator="equal">
      <formula>"ID*"</formula>
    </cfRule>
    <cfRule type="cellIs" dxfId="1416" priority="7368" operator="equal">
      <formula>"LC*"</formula>
    </cfRule>
    <cfRule type="cellIs" dxfId="1415" priority="7369" operator="equal">
      <formula>"LC+"</formula>
    </cfRule>
    <cfRule type="cellIs" dxfId="1414" priority="7370" operator="equal">
      <formula>"LC"</formula>
    </cfRule>
    <cfRule type="cellIs" dxfId="1413" priority="7371" operator="equal">
      <formula>"LC*"</formula>
    </cfRule>
    <cfRule type="cellIs" dxfId="1412" priority="7372" operator="equal">
      <formula>"LC+"</formula>
    </cfRule>
    <cfRule type="cellIs" dxfId="1411" priority="7373" operator="equal">
      <formula>"LC"</formula>
    </cfRule>
  </conditionalFormatting>
  <conditionalFormatting sqref="AB136">
    <cfRule type="containsText" dxfId="1410" priority="7299" operator="containsText" text="[adv]">
      <formula>NOT(ISERROR(SEARCH("[adv]",AB136)))</formula>
    </cfRule>
    <cfRule type="cellIs" dxfId="1409" priority="7301" operator="equal">
      <formula>"_"</formula>
    </cfRule>
    <cfRule type="cellIs" dxfId="1408" priority="7303" operator="equal">
      <formula>"ID+"</formula>
    </cfRule>
    <cfRule type="cellIs" dxfId="1407" priority="7304" operator="equal">
      <formula>"HK*"</formula>
    </cfRule>
    <cfRule type="cellIs" dxfId="1406" priority="7305" operator="equal">
      <formula>"HK"</formula>
    </cfRule>
    <cfRule type="cellIs" dxfId="1405" priority="7306" operator="equal">
      <formula>"HK+"</formula>
    </cfRule>
    <cfRule type="cellIs" dxfId="1404" priority="7307" operator="equal">
      <formula>"ID"</formula>
    </cfRule>
    <cfRule type="cellIs" dxfId="1403" priority="7308" operator="equal">
      <formula>"ID*"</formula>
    </cfRule>
    <cfRule type="cellIs" dxfId="1402" priority="7309" operator="equal">
      <formula>"LC*"</formula>
    </cfRule>
    <cfRule type="cellIs" dxfId="1401" priority="7310" operator="equal">
      <formula>"LC+"</formula>
    </cfRule>
    <cfRule type="cellIs" dxfId="1400" priority="7311" operator="equal">
      <formula>"LC"</formula>
    </cfRule>
    <cfRule type="cellIs" dxfId="1399" priority="7313" operator="equal">
      <formula>"LC*"</formula>
    </cfRule>
    <cfRule type="cellIs" dxfId="1398" priority="7314" operator="equal">
      <formula>"LC+"</formula>
    </cfRule>
    <cfRule type="cellIs" dxfId="1397" priority="7315" operator="equal">
      <formula>"LC"</formula>
    </cfRule>
    <cfRule type="containsText" dxfId="1396" priority="7409" operator="containsText" text="[adv]">
      <formula>NOT(ISERROR(SEARCH("[adv]",AB136)))</formula>
    </cfRule>
    <cfRule type="cellIs" dxfId="1395" priority="7412" operator="equal">
      <formula>"ID+"</formula>
    </cfRule>
    <cfRule type="cellIs" dxfId="1394" priority="7413" operator="equal">
      <formula>"HK*"</formula>
    </cfRule>
    <cfRule type="cellIs" dxfId="1393" priority="7414" operator="equal">
      <formula>"HK"</formula>
    </cfRule>
    <cfRule type="cellIs" dxfId="1392" priority="7415" operator="equal">
      <formula>"HK+"</formula>
    </cfRule>
    <cfRule type="cellIs" dxfId="1391" priority="7416" operator="equal">
      <formula>"ID"</formula>
    </cfRule>
    <cfRule type="cellIs" dxfId="1390" priority="7417" operator="equal">
      <formula>"ID*"</formula>
    </cfRule>
    <cfRule type="cellIs" dxfId="1389" priority="7418" operator="equal">
      <formula>"LC*"</formula>
    </cfRule>
    <cfRule type="cellIs" dxfId="1388" priority="7419" operator="equal">
      <formula>"LC+"</formula>
    </cfRule>
    <cfRule type="cellIs" dxfId="1387" priority="7420" operator="equal">
      <formula>"LC"</formula>
    </cfRule>
  </conditionalFormatting>
  <conditionalFormatting sqref="AB139">
    <cfRule type="containsText" dxfId="1386" priority="2604" operator="containsText" text="[adv]">
      <formula>NOT(ISERROR(SEARCH("[adv]",AB139)))</formula>
    </cfRule>
    <cfRule type="containsText" dxfId="1385" priority="2605" operator="containsText" text="[pluk]">
      <formula>NOT(ISERROR(SEARCH("[pluk]",AB139)))</formula>
    </cfRule>
    <cfRule type="cellIs" dxfId="1384" priority="2606" operator="equal">
      <formula>"_"</formula>
    </cfRule>
    <cfRule type="cellIs" dxfId="1383" priority="2620" operator="equal">
      <formula>"ID+"</formula>
    </cfRule>
    <cfRule type="cellIs" dxfId="1382" priority="2621" operator="equal">
      <formula>"HK*"</formula>
    </cfRule>
    <cfRule type="cellIs" dxfId="1381" priority="2622" operator="equal">
      <formula>"HK"</formula>
    </cfRule>
    <cfRule type="cellIs" dxfId="1380" priority="2623" operator="equal">
      <formula>"HK+"</formula>
    </cfRule>
    <cfRule type="cellIs" dxfId="1379" priority="2624" operator="equal">
      <formula>"ID"</formula>
    </cfRule>
    <cfRule type="cellIs" dxfId="1378" priority="2625" operator="equal">
      <formula>"ID*"</formula>
    </cfRule>
  </conditionalFormatting>
  <conditionalFormatting sqref="AB141">
    <cfRule type="containsText" dxfId="1377" priority="7320" operator="containsText" text="[adv]">
      <formula>NOT(ISERROR(SEARCH("[adv]",AB141)))</formula>
    </cfRule>
    <cfRule type="cellIs" dxfId="1376" priority="7323" operator="equal">
      <formula>"ID+"</formula>
    </cfRule>
    <cfRule type="cellIs" dxfId="1375" priority="7324" operator="equal">
      <formula>"HK*"</formula>
    </cfRule>
    <cfRule type="cellIs" dxfId="1374" priority="7325" operator="equal">
      <formula>"HK"</formula>
    </cfRule>
    <cfRule type="cellIs" dxfId="1373" priority="7326" operator="equal">
      <formula>"HK+"</formula>
    </cfRule>
    <cfRule type="cellIs" dxfId="1372" priority="7327" operator="equal">
      <formula>"ID"</formula>
    </cfRule>
    <cfRule type="cellIs" dxfId="1371" priority="7328" operator="equal">
      <formula>"ID*"</formula>
    </cfRule>
    <cfRule type="cellIs" dxfId="1370" priority="7329" operator="equal">
      <formula>"LC*"</formula>
    </cfRule>
    <cfRule type="cellIs" dxfId="1369" priority="7330" operator="equal">
      <formula>"LC+"</formula>
    </cfRule>
    <cfRule type="cellIs" dxfId="1368" priority="7331" operator="equal">
      <formula>"LC"</formula>
    </cfRule>
    <cfRule type="cellIs" dxfId="1367" priority="7332" operator="equal">
      <formula>"LC*"</formula>
    </cfRule>
    <cfRule type="cellIs" dxfId="1366" priority="7333" operator="equal">
      <formula>"LC+"</formula>
    </cfRule>
    <cfRule type="cellIs" dxfId="1365" priority="7334" operator="equal">
      <formula>"LC"</formula>
    </cfRule>
  </conditionalFormatting>
  <conditionalFormatting sqref="AB147">
    <cfRule type="containsText" dxfId="1364" priority="2576" operator="containsText" text="[adv]">
      <formula>NOT(ISERROR(SEARCH("[adv]",AB147)))</formula>
    </cfRule>
    <cfRule type="containsText" dxfId="1363" priority="2577" operator="containsText" text="[pluk]">
      <formula>NOT(ISERROR(SEARCH("[pluk]",AB147)))</formula>
    </cfRule>
    <cfRule type="cellIs" dxfId="1362" priority="2578" operator="equal">
      <formula>"_"</formula>
    </cfRule>
    <cfRule type="cellIs" dxfId="1361" priority="2596" operator="equal">
      <formula>"ID+"</formula>
    </cfRule>
    <cfRule type="cellIs" dxfId="1360" priority="2597" operator="equal">
      <formula>"HK*"</formula>
    </cfRule>
    <cfRule type="cellIs" dxfId="1359" priority="2598" operator="equal">
      <formula>"HK"</formula>
    </cfRule>
    <cfRule type="cellIs" dxfId="1358" priority="2599" operator="equal">
      <formula>"HK+"</formula>
    </cfRule>
    <cfRule type="cellIs" dxfId="1357" priority="2600" operator="equal">
      <formula>"ID"</formula>
    </cfRule>
    <cfRule type="cellIs" dxfId="1356" priority="2601" operator="equal">
      <formula>"ID*"</formula>
    </cfRule>
  </conditionalFormatting>
  <conditionalFormatting sqref="AB148">
    <cfRule type="containsText" dxfId="1355" priority="7239" operator="containsText" text="[adv]">
      <formula>NOT(ISERROR(SEARCH("[adv]",AB148)))</formula>
    </cfRule>
    <cfRule type="cellIs" dxfId="1354" priority="7240" operator="equal">
      <formula>"LC*"</formula>
    </cfRule>
    <cfRule type="cellIs" dxfId="1353" priority="7241" operator="equal">
      <formula>"LC+"</formula>
    </cfRule>
    <cfRule type="cellIs" dxfId="1352" priority="7242" operator="equal">
      <formula>"LC"</formula>
    </cfRule>
  </conditionalFormatting>
  <conditionalFormatting sqref="AB155">
    <cfRule type="containsText" dxfId="1351" priority="2549" operator="containsText" text="[adv]">
      <formula>NOT(ISERROR(SEARCH("[adv]",AB155)))</formula>
    </cfRule>
    <cfRule type="containsText" dxfId="1350" priority="2550" operator="containsText" text="[pluk]">
      <formula>NOT(ISERROR(SEARCH("[pluk]",AB155)))</formula>
    </cfRule>
    <cfRule type="cellIs" dxfId="1349" priority="2551" operator="equal">
      <formula>"_"</formula>
    </cfRule>
    <cfRule type="cellIs" dxfId="1348" priority="2568" operator="equal">
      <formula>"ID+"</formula>
    </cfRule>
    <cfRule type="cellIs" dxfId="1347" priority="2569" operator="equal">
      <formula>"HK*"</formula>
    </cfRule>
    <cfRule type="cellIs" dxfId="1346" priority="2570" operator="equal">
      <formula>"HK"</formula>
    </cfRule>
    <cfRule type="cellIs" dxfId="1345" priority="2571" operator="equal">
      <formula>"HK+"</formula>
    </cfRule>
    <cfRule type="cellIs" dxfId="1344" priority="2572" operator="equal">
      <formula>"ID"</formula>
    </cfRule>
    <cfRule type="cellIs" dxfId="1343" priority="2573" operator="equal">
      <formula>"ID*"</formula>
    </cfRule>
  </conditionalFormatting>
  <conditionalFormatting sqref="AB163">
    <cfRule type="containsText" dxfId="1342" priority="2521" operator="containsText" text="[adv]">
      <formula>NOT(ISERROR(SEARCH("[adv]",AB163)))</formula>
    </cfRule>
    <cfRule type="containsText" dxfId="1341" priority="2522" operator="containsText" text="[pluk]">
      <formula>NOT(ISERROR(SEARCH("[pluk]",AB163)))</formula>
    </cfRule>
    <cfRule type="cellIs" dxfId="1340" priority="2523" operator="equal">
      <formula>"_"</formula>
    </cfRule>
    <cfRule type="cellIs" dxfId="1339" priority="2541" operator="equal">
      <formula>"ID+"</formula>
    </cfRule>
    <cfRule type="cellIs" dxfId="1338" priority="2542" operator="equal">
      <formula>"HK*"</formula>
    </cfRule>
    <cfRule type="cellIs" dxfId="1337" priority="2543" operator="equal">
      <formula>"HK"</formula>
    </cfRule>
    <cfRule type="cellIs" dxfId="1336" priority="2544" operator="equal">
      <formula>"HK+"</formula>
    </cfRule>
    <cfRule type="cellIs" dxfId="1335" priority="2545" operator="equal">
      <formula>"ID"</formula>
    </cfRule>
    <cfRule type="cellIs" dxfId="1334" priority="2546" operator="equal">
      <formula>"ID*"</formula>
    </cfRule>
  </conditionalFormatting>
  <conditionalFormatting sqref="AB171">
    <cfRule type="containsText" dxfId="1333" priority="2494" operator="containsText" text="[adv]">
      <formula>NOT(ISERROR(SEARCH("[adv]",AB171)))</formula>
    </cfRule>
    <cfRule type="containsText" dxfId="1332" priority="2495" operator="containsText" text="[pluk]">
      <formula>NOT(ISERROR(SEARCH("[pluk]",AB171)))</formula>
    </cfRule>
    <cfRule type="cellIs" dxfId="1331" priority="2496" operator="equal">
      <formula>"_"</formula>
    </cfRule>
    <cfRule type="cellIs" dxfId="1330" priority="2513" operator="equal">
      <formula>"ID+"</formula>
    </cfRule>
    <cfRule type="cellIs" dxfId="1329" priority="2514" operator="equal">
      <formula>"HK*"</formula>
    </cfRule>
    <cfRule type="cellIs" dxfId="1328" priority="2515" operator="equal">
      <formula>"HK"</formula>
    </cfRule>
    <cfRule type="cellIs" dxfId="1327" priority="2516" operator="equal">
      <formula>"HK+"</formula>
    </cfRule>
    <cfRule type="cellIs" dxfId="1326" priority="2517" operator="equal">
      <formula>"ID"</formula>
    </cfRule>
    <cfRule type="cellIs" dxfId="1325" priority="2518" operator="equal">
      <formula>"ID*"</formula>
    </cfRule>
  </conditionalFormatting>
  <conditionalFormatting sqref="AB179">
    <cfRule type="containsText" dxfId="1324" priority="2466" operator="containsText" text="[adv]">
      <formula>NOT(ISERROR(SEARCH("[adv]",AB179)))</formula>
    </cfRule>
    <cfRule type="containsText" dxfId="1323" priority="2467" operator="containsText" text="[pluk]">
      <formula>NOT(ISERROR(SEARCH("[pluk]",AB179)))</formula>
    </cfRule>
    <cfRule type="cellIs" dxfId="1322" priority="2468" operator="equal">
      <formula>"_"</formula>
    </cfRule>
    <cfRule type="cellIs" dxfId="1321" priority="2486" operator="equal">
      <formula>"ID+"</formula>
    </cfRule>
    <cfRule type="cellIs" dxfId="1320" priority="2487" operator="equal">
      <formula>"HK*"</formula>
    </cfRule>
    <cfRule type="cellIs" dxfId="1319" priority="2488" operator="equal">
      <formula>"HK"</formula>
    </cfRule>
    <cfRule type="cellIs" dxfId="1318" priority="2489" operator="equal">
      <formula>"HK+"</formula>
    </cfRule>
    <cfRule type="cellIs" dxfId="1317" priority="2490" operator="equal">
      <formula>"ID"</formula>
    </cfRule>
    <cfRule type="cellIs" dxfId="1316" priority="2491" operator="equal">
      <formula>"ID*"</formula>
    </cfRule>
  </conditionalFormatting>
  <conditionalFormatting sqref="AB183">
    <cfRule type="cellIs" dxfId="1315" priority="7155" operator="equal">
      <formula>"LC*"</formula>
    </cfRule>
    <cfRule type="cellIs" dxfId="1314" priority="7156" operator="equal">
      <formula>"LC+"</formula>
    </cfRule>
    <cfRule type="cellIs" dxfId="1313" priority="7157" operator="equal">
      <formula>"LC"</formula>
    </cfRule>
  </conditionalFormatting>
  <conditionalFormatting sqref="AB184">
    <cfRule type="cellIs" dxfId="1312" priority="7132" operator="equal">
      <formula>"LC*"</formula>
    </cfRule>
    <cfRule type="cellIs" dxfId="1311" priority="7133" operator="equal">
      <formula>"LC+"</formula>
    </cfRule>
    <cfRule type="cellIs" dxfId="1310" priority="7134" operator="equal">
      <formula>"LC"</formula>
    </cfRule>
  </conditionalFormatting>
  <conditionalFormatting sqref="AB184:AB186">
    <cfRule type="containsText" dxfId="1309" priority="7131" operator="containsText" text="[adv]">
      <formula>NOT(ISERROR(SEARCH("[adv]",AB184)))</formula>
    </cfRule>
  </conditionalFormatting>
  <conditionalFormatting sqref="AB187">
    <cfRule type="containsText" dxfId="1308" priority="2436" operator="containsText" text="[adv]">
      <formula>NOT(ISERROR(SEARCH("[adv]",AB187)))</formula>
    </cfRule>
    <cfRule type="containsText" dxfId="1307" priority="2437" operator="containsText" text="[pluk]">
      <formula>NOT(ISERROR(SEARCH("[pluk]",AB187)))</formula>
    </cfRule>
    <cfRule type="cellIs" dxfId="1306" priority="2438" operator="equal">
      <formula>"_"</formula>
    </cfRule>
    <cfRule type="cellIs" dxfId="1305" priority="2455" operator="equal">
      <formula>"ID+"</formula>
    </cfRule>
    <cfRule type="cellIs" dxfId="1304" priority="2456" operator="equal">
      <formula>"HK*"</formula>
    </cfRule>
    <cfRule type="cellIs" dxfId="1303" priority="2457" operator="equal">
      <formula>"HK"</formula>
    </cfRule>
    <cfRule type="cellIs" dxfId="1302" priority="2458" operator="equal">
      <formula>"HK+"</formula>
    </cfRule>
    <cfRule type="cellIs" dxfId="1301" priority="2459" operator="equal">
      <formula>"ID"</formula>
    </cfRule>
    <cfRule type="cellIs" dxfId="1300" priority="2460" operator="equal">
      <formula>"ID*"</formula>
    </cfRule>
  </conditionalFormatting>
  <conditionalFormatting sqref="AB189">
    <cfRule type="cellIs" dxfId="1299" priority="7093" operator="equal">
      <formula>"LC*"</formula>
    </cfRule>
    <cfRule type="cellIs" dxfId="1298" priority="7094" operator="equal">
      <formula>"LC+"</formula>
    </cfRule>
    <cfRule type="cellIs" dxfId="1297" priority="7095" operator="equal">
      <formula>"LC"</formula>
    </cfRule>
    <cfRule type="containsText" dxfId="1296" priority="7097" operator="containsText" text="[adv]">
      <formula>NOT(ISERROR(SEARCH("[adv]",AB189)))</formula>
    </cfRule>
    <cfRule type="cellIs" dxfId="1295" priority="7098" operator="equal">
      <formula>"LC*"</formula>
    </cfRule>
    <cfRule type="cellIs" dxfId="1294" priority="7099" operator="equal">
      <formula>"LC+"</formula>
    </cfRule>
    <cfRule type="cellIs" dxfId="1293" priority="7100" operator="equal">
      <formula>"LC"</formula>
    </cfRule>
  </conditionalFormatting>
  <conditionalFormatting sqref="AB195">
    <cfRule type="containsText" dxfId="1292" priority="2404" operator="containsText" text="[adv]">
      <formula>NOT(ISERROR(SEARCH("[adv]",AB195)))</formula>
    </cfRule>
    <cfRule type="containsText" dxfId="1291" priority="2405" operator="containsText" text="[pluk]">
      <formula>NOT(ISERROR(SEARCH("[pluk]",AB195)))</formula>
    </cfRule>
    <cfRule type="cellIs" dxfId="1290" priority="2406" operator="equal">
      <formula>"_"</formula>
    </cfRule>
    <cfRule type="cellIs" dxfId="1289" priority="2424" operator="equal">
      <formula>"ID+"</formula>
    </cfRule>
    <cfRule type="cellIs" dxfId="1288" priority="2425" operator="equal">
      <formula>"HK*"</formula>
    </cfRule>
    <cfRule type="cellIs" dxfId="1287" priority="2426" operator="equal">
      <formula>"HK"</formula>
    </cfRule>
    <cfRule type="cellIs" dxfId="1286" priority="2427" operator="equal">
      <formula>"HK+"</formula>
    </cfRule>
    <cfRule type="cellIs" dxfId="1285" priority="2428" operator="equal">
      <formula>"ID"</formula>
    </cfRule>
    <cfRule type="cellIs" dxfId="1284" priority="2429" operator="equal">
      <formula>"ID*"</formula>
    </cfRule>
  </conditionalFormatting>
  <conditionalFormatting sqref="AB197">
    <cfRule type="cellIs" dxfId="1283" priority="6995" operator="equal">
      <formula>"Moestuin"</formula>
    </cfRule>
    <cfRule type="cellIs" dxfId="1282" priority="6996" operator="equal">
      <formula>"Hub"</formula>
    </cfRule>
    <cfRule type="cellIs" dxfId="1281" priority="6997" operator="equal">
      <formula>"Snoeien"</formula>
    </cfRule>
    <cfRule type="cellIs" dxfId="1280" priority="6998" operator="equal">
      <formula>"Biodiversiteit"</formula>
    </cfRule>
    <cfRule type="cellIs" dxfId="1279" priority="6999" operator="equal">
      <formula>"Kamerplanten"</formula>
    </cfRule>
    <cfRule type="cellIs" dxfId="1278" priority="7000" operator="equal">
      <formula>"RERUN"</formula>
    </cfRule>
    <cfRule type="cellIs" dxfId="1277" priority="7001" operator="equal">
      <formula>"Kweken"</formula>
    </cfRule>
    <cfRule type="cellIs" dxfId="1276" priority="7002" operator="equal">
      <formula>"Partnerbijdrage"</formula>
    </cfRule>
    <cfRule type="cellIs" dxfId="1275" priority="7003" operator="equal">
      <formula>"TV-pagina"</formula>
    </cfRule>
    <cfRule type="cellIs" dxfId="1274" priority="7004" operator="equal">
      <formula>"Tuinklussen"</formula>
    </cfRule>
    <cfRule type="cellIs" dxfId="1273" priority="7005" operator="equal">
      <formula>"Inspiratie"</formula>
    </cfRule>
  </conditionalFormatting>
  <conditionalFormatting sqref="AB198">
    <cfRule type="cellIs" dxfId="1272" priority="6861" operator="equal">
      <formula>"LC*"</formula>
    </cfRule>
    <cfRule type="cellIs" dxfId="1271" priority="6862" operator="equal">
      <formula>"LC+"</formula>
    </cfRule>
    <cfRule type="cellIs" dxfId="1270" priority="6863" operator="equal">
      <formula>"LC"</formula>
    </cfRule>
  </conditionalFormatting>
  <conditionalFormatting sqref="AB199">
    <cfRule type="cellIs" dxfId="1269" priority="6911" operator="equal">
      <formula>"LC*"</formula>
    </cfRule>
    <cfRule type="cellIs" dxfId="1268" priority="6912" operator="equal">
      <formula>"LC+"</formula>
    </cfRule>
    <cfRule type="cellIs" dxfId="1267" priority="6913" operator="equal">
      <formula>"LC"</formula>
    </cfRule>
  </conditionalFormatting>
  <conditionalFormatting sqref="AB203">
    <cfRule type="containsText" dxfId="1266" priority="2373" operator="containsText" text="[adv]">
      <formula>NOT(ISERROR(SEARCH("[adv]",AB203)))</formula>
    </cfRule>
    <cfRule type="containsText" dxfId="1265" priority="2374" operator="containsText" text="[pluk]">
      <formula>NOT(ISERROR(SEARCH("[pluk]",AB203)))</formula>
    </cfRule>
    <cfRule type="cellIs" dxfId="1264" priority="2375" operator="equal">
      <formula>"_"</formula>
    </cfRule>
    <cfRule type="cellIs" dxfId="1263" priority="2392" operator="equal">
      <formula>"ID+"</formula>
    </cfRule>
    <cfRule type="cellIs" dxfId="1262" priority="2393" operator="equal">
      <formula>"HK*"</formula>
    </cfRule>
    <cfRule type="cellIs" dxfId="1261" priority="2394" operator="equal">
      <formula>"HK"</formula>
    </cfRule>
    <cfRule type="cellIs" dxfId="1260" priority="2395" operator="equal">
      <formula>"HK+"</formula>
    </cfRule>
    <cfRule type="cellIs" dxfId="1259" priority="2396" operator="equal">
      <formula>"ID"</formula>
    </cfRule>
    <cfRule type="cellIs" dxfId="1258" priority="2397" operator="equal">
      <formula>"ID*"</formula>
    </cfRule>
  </conditionalFormatting>
  <conditionalFormatting sqref="AB207:AB208">
    <cfRule type="containsText" dxfId="1257" priority="6830" operator="containsText" text="[adv]">
      <formula>NOT(ISERROR(SEARCH("[adv]",AB207)))</formula>
    </cfRule>
    <cfRule type="cellIs" dxfId="1256" priority="6831" operator="equal">
      <formula>"LC*"</formula>
    </cfRule>
    <cfRule type="cellIs" dxfId="1255" priority="6832" operator="equal">
      <formula>"LC+"</formula>
    </cfRule>
    <cfRule type="cellIs" dxfId="1254" priority="6833" operator="equal">
      <formula>"LC"</formula>
    </cfRule>
    <cfRule type="cellIs" dxfId="1253" priority="6834" operator="equal">
      <formula>"ID+"</formula>
    </cfRule>
    <cfRule type="containsText" dxfId="1252" priority="6835" operator="containsText" text="[pluk]">
      <formula>NOT(ISERROR(SEARCH("[pluk]",AB207)))</formula>
    </cfRule>
    <cfRule type="cellIs" dxfId="1251" priority="6836" operator="equal">
      <formula>"HK*"</formula>
    </cfRule>
    <cfRule type="cellIs" dxfId="1250" priority="6837" operator="equal">
      <formula>"HK"</formula>
    </cfRule>
    <cfRule type="cellIs" dxfId="1249" priority="6838" operator="equal">
      <formula>"HK+"</formula>
    </cfRule>
    <cfRule type="cellIs" dxfId="1248" priority="6839" operator="equal">
      <formula>"ID"</formula>
    </cfRule>
    <cfRule type="cellIs" dxfId="1247" priority="6840" operator="equal">
      <formula>"ID*"</formula>
    </cfRule>
    <cfRule type="cellIs" dxfId="1246" priority="6841" operator="equal">
      <formula>"_"</formula>
    </cfRule>
  </conditionalFormatting>
  <conditionalFormatting sqref="AB211">
    <cfRule type="containsText" dxfId="1245" priority="2341" operator="containsText" text="[adv]">
      <formula>NOT(ISERROR(SEARCH("[adv]",AB211)))</formula>
    </cfRule>
    <cfRule type="containsText" dxfId="1244" priority="2342" operator="containsText" text="[pluk]">
      <formula>NOT(ISERROR(SEARCH("[pluk]",AB211)))</formula>
    </cfRule>
    <cfRule type="cellIs" dxfId="1243" priority="2343" operator="equal">
      <formula>"_"</formula>
    </cfRule>
    <cfRule type="cellIs" dxfId="1242" priority="2361" operator="equal">
      <formula>"ID+"</formula>
    </cfRule>
    <cfRule type="cellIs" dxfId="1241" priority="2362" operator="equal">
      <formula>"HK*"</formula>
    </cfRule>
    <cfRule type="cellIs" dxfId="1240" priority="2363" operator="equal">
      <formula>"HK"</formula>
    </cfRule>
    <cfRule type="cellIs" dxfId="1239" priority="2364" operator="equal">
      <formula>"HK+"</formula>
    </cfRule>
    <cfRule type="cellIs" dxfId="1238" priority="2365" operator="equal">
      <formula>"ID"</formula>
    </cfRule>
    <cfRule type="cellIs" dxfId="1237" priority="2366" operator="equal">
      <formula>"ID*"</formula>
    </cfRule>
  </conditionalFormatting>
  <conditionalFormatting sqref="AB219">
    <cfRule type="containsText" dxfId="1236" priority="2310" operator="containsText" text="[adv]">
      <formula>NOT(ISERROR(SEARCH("[adv]",AB219)))</formula>
    </cfRule>
    <cfRule type="containsText" dxfId="1235" priority="2311" operator="containsText" text="[pluk]">
      <formula>NOT(ISERROR(SEARCH("[pluk]",AB219)))</formula>
    </cfRule>
    <cfRule type="cellIs" dxfId="1234" priority="2312" operator="equal">
      <formula>"_"</formula>
    </cfRule>
    <cfRule type="cellIs" dxfId="1233" priority="2329" operator="equal">
      <formula>"ID+"</formula>
    </cfRule>
    <cfRule type="cellIs" dxfId="1232" priority="2330" operator="equal">
      <formula>"HK*"</formula>
    </cfRule>
    <cfRule type="cellIs" dxfId="1231" priority="2331" operator="equal">
      <formula>"HK"</formula>
    </cfRule>
    <cfRule type="cellIs" dxfId="1230" priority="2332" operator="equal">
      <formula>"HK+"</formula>
    </cfRule>
    <cfRule type="cellIs" dxfId="1229" priority="2333" operator="equal">
      <formula>"ID"</formula>
    </cfRule>
    <cfRule type="cellIs" dxfId="1228" priority="2334" operator="equal">
      <formula>"ID*"</formula>
    </cfRule>
  </conditionalFormatting>
  <conditionalFormatting sqref="AB227">
    <cfRule type="containsText" dxfId="1227" priority="2278" operator="containsText" text="[adv]">
      <formula>NOT(ISERROR(SEARCH("[adv]",AB227)))</formula>
    </cfRule>
    <cfRule type="containsText" dxfId="1226" priority="2279" operator="containsText" text="[pluk]">
      <formula>NOT(ISERROR(SEARCH("[pluk]",AB227)))</formula>
    </cfRule>
    <cfRule type="cellIs" dxfId="1225" priority="2280" operator="equal">
      <formula>"_"</formula>
    </cfRule>
    <cfRule type="cellIs" dxfId="1224" priority="2298" operator="equal">
      <formula>"ID+"</formula>
    </cfRule>
    <cfRule type="cellIs" dxfId="1223" priority="2299" operator="equal">
      <formula>"HK*"</formula>
    </cfRule>
    <cfRule type="cellIs" dxfId="1222" priority="2300" operator="equal">
      <formula>"HK"</formula>
    </cfRule>
    <cfRule type="cellIs" dxfId="1221" priority="2301" operator="equal">
      <formula>"HK+"</formula>
    </cfRule>
    <cfRule type="cellIs" dxfId="1220" priority="2302" operator="equal">
      <formula>"ID"</formula>
    </cfRule>
    <cfRule type="cellIs" dxfId="1219" priority="2303" operator="equal">
      <formula>"ID*"</formula>
    </cfRule>
  </conditionalFormatting>
  <conditionalFormatting sqref="AB235">
    <cfRule type="containsText" dxfId="1218" priority="2247" operator="containsText" text="[adv]">
      <formula>NOT(ISERROR(SEARCH("[adv]",AB235)))</formula>
    </cfRule>
    <cfRule type="containsText" dxfId="1217" priority="2248" operator="containsText" text="[pluk]">
      <formula>NOT(ISERROR(SEARCH("[pluk]",AB235)))</formula>
    </cfRule>
    <cfRule type="cellIs" dxfId="1216" priority="2249" operator="equal">
      <formula>"_"</formula>
    </cfRule>
    <cfRule type="cellIs" dxfId="1215" priority="2266" operator="equal">
      <formula>"ID+"</formula>
    </cfRule>
    <cfRule type="cellIs" dxfId="1214" priority="2267" operator="equal">
      <formula>"HK*"</formula>
    </cfRule>
    <cfRule type="cellIs" dxfId="1213" priority="2268" operator="equal">
      <formula>"HK"</formula>
    </cfRule>
    <cfRule type="cellIs" dxfId="1212" priority="2269" operator="equal">
      <formula>"HK+"</formula>
    </cfRule>
    <cfRule type="cellIs" dxfId="1211" priority="2270" operator="equal">
      <formula>"ID"</formula>
    </cfRule>
    <cfRule type="cellIs" dxfId="1210" priority="2271" operator="equal">
      <formula>"ID*"</formula>
    </cfRule>
  </conditionalFormatting>
  <conditionalFormatting sqref="AB243">
    <cfRule type="containsText" dxfId="1209" priority="2215" operator="containsText" text="[adv]">
      <formula>NOT(ISERROR(SEARCH("[adv]",AB243)))</formula>
    </cfRule>
    <cfRule type="containsText" dxfId="1208" priority="2216" operator="containsText" text="[pluk]">
      <formula>NOT(ISERROR(SEARCH("[pluk]",AB243)))</formula>
    </cfRule>
    <cfRule type="cellIs" dxfId="1207" priority="2217" operator="equal">
      <formula>"_"</formula>
    </cfRule>
    <cfRule type="cellIs" dxfId="1206" priority="2235" operator="equal">
      <formula>"ID+"</formula>
    </cfRule>
    <cfRule type="cellIs" dxfId="1205" priority="2236" operator="equal">
      <formula>"HK*"</formula>
    </cfRule>
    <cfRule type="cellIs" dxfId="1204" priority="2237" operator="equal">
      <formula>"HK"</formula>
    </cfRule>
    <cfRule type="cellIs" dxfId="1203" priority="2238" operator="equal">
      <formula>"HK+"</formula>
    </cfRule>
    <cfRule type="cellIs" dxfId="1202" priority="2239" operator="equal">
      <formula>"ID"</formula>
    </cfRule>
    <cfRule type="cellIs" dxfId="1201" priority="2240" operator="equal">
      <formula>"ID*"</formula>
    </cfRule>
  </conditionalFormatting>
  <conditionalFormatting sqref="AB251">
    <cfRule type="containsText" dxfId="1200" priority="2183" operator="containsText" text="[adv]">
      <formula>NOT(ISERROR(SEARCH("[adv]",AB251)))</formula>
    </cfRule>
    <cfRule type="containsText" dxfId="1199" priority="2184" operator="containsText" text="[pluk]">
      <formula>NOT(ISERROR(SEARCH("[pluk]",AB251)))</formula>
    </cfRule>
    <cfRule type="cellIs" dxfId="1198" priority="2185" operator="equal">
      <formula>"_"</formula>
    </cfRule>
    <cfRule type="cellIs" dxfId="1197" priority="2202" operator="equal">
      <formula>"ID+"</formula>
    </cfRule>
    <cfRule type="cellIs" dxfId="1196" priority="2203" operator="equal">
      <formula>"HK*"</formula>
    </cfRule>
    <cfRule type="cellIs" dxfId="1195" priority="2204" operator="equal">
      <formula>"HK"</formula>
    </cfRule>
    <cfRule type="cellIs" dxfId="1194" priority="2205" operator="equal">
      <formula>"HK+"</formula>
    </cfRule>
    <cfRule type="cellIs" dxfId="1193" priority="2206" operator="equal">
      <formula>"ID"</formula>
    </cfRule>
    <cfRule type="cellIs" dxfId="1192" priority="2207" operator="equal">
      <formula>"ID*"</formula>
    </cfRule>
  </conditionalFormatting>
  <conditionalFormatting sqref="AB259">
    <cfRule type="containsText" dxfId="1191" priority="2150" operator="containsText" text="[adv]">
      <formula>NOT(ISERROR(SEARCH("[adv]",AB259)))</formula>
    </cfRule>
    <cfRule type="containsText" dxfId="1190" priority="2151" operator="containsText" text="[pluk]">
      <formula>NOT(ISERROR(SEARCH("[pluk]",AB259)))</formula>
    </cfRule>
    <cfRule type="cellIs" dxfId="1189" priority="2152" operator="equal">
      <formula>"_"</formula>
    </cfRule>
    <cfRule type="cellIs" dxfId="1188" priority="2170" operator="equal">
      <formula>"ID+"</formula>
    </cfRule>
    <cfRule type="cellIs" dxfId="1187" priority="2171" operator="equal">
      <formula>"HK*"</formula>
    </cfRule>
    <cfRule type="cellIs" dxfId="1186" priority="2172" operator="equal">
      <formula>"HK"</formula>
    </cfRule>
    <cfRule type="cellIs" dxfId="1185" priority="2173" operator="equal">
      <formula>"HK+"</formula>
    </cfRule>
    <cfRule type="cellIs" dxfId="1184" priority="2174" operator="equal">
      <formula>"ID"</formula>
    </cfRule>
    <cfRule type="cellIs" dxfId="1183" priority="2175" operator="equal">
      <formula>"ID*"</formula>
    </cfRule>
  </conditionalFormatting>
  <conditionalFormatting sqref="AB267">
    <cfRule type="containsText" dxfId="1182" priority="2119" operator="containsText" text="[adv]">
      <formula>NOT(ISERROR(SEARCH("[adv]",AB267)))</formula>
    </cfRule>
    <cfRule type="containsText" dxfId="1181" priority="2120" operator="containsText" text="[pluk]">
      <formula>NOT(ISERROR(SEARCH("[pluk]",AB267)))</formula>
    </cfRule>
    <cfRule type="cellIs" dxfId="1180" priority="2121" operator="equal">
      <formula>"_"</formula>
    </cfRule>
    <cfRule type="cellIs" dxfId="1179" priority="2138" operator="equal">
      <formula>"ID+"</formula>
    </cfRule>
    <cfRule type="cellIs" dxfId="1178" priority="2139" operator="equal">
      <formula>"HK*"</formula>
    </cfRule>
    <cfRule type="cellIs" dxfId="1177" priority="2140" operator="equal">
      <formula>"HK"</formula>
    </cfRule>
    <cfRule type="cellIs" dxfId="1176" priority="2141" operator="equal">
      <formula>"HK+"</formula>
    </cfRule>
    <cfRule type="cellIs" dxfId="1175" priority="2142" operator="equal">
      <formula>"ID"</formula>
    </cfRule>
    <cfRule type="cellIs" dxfId="1174" priority="2143" operator="equal">
      <formula>"ID*"</formula>
    </cfRule>
  </conditionalFormatting>
  <conditionalFormatting sqref="AB275">
    <cfRule type="containsText" dxfId="1173" priority="2088" operator="containsText" text="[adv]">
      <formula>NOT(ISERROR(SEARCH("[adv]",AB275)))</formula>
    </cfRule>
    <cfRule type="containsText" dxfId="1172" priority="2089" operator="containsText" text="[pluk]">
      <formula>NOT(ISERROR(SEARCH("[pluk]",AB275)))</formula>
    </cfRule>
    <cfRule type="cellIs" dxfId="1171" priority="2090" operator="equal">
      <formula>"_"</formula>
    </cfRule>
    <cfRule type="cellIs" dxfId="1170" priority="2107" operator="equal">
      <formula>"ID+"</formula>
    </cfRule>
    <cfRule type="cellIs" dxfId="1169" priority="2108" operator="equal">
      <formula>"HK*"</formula>
    </cfRule>
    <cfRule type="cellIs" dxfId="1168" priority="2109" operator="equal">
      <formula>"HK"</formula>
    </cfRule>
    <cfRule type="cellIs" dxfId="1167" priority="2110" operator="equal">
      <formula>"HK+"</formula>
    </cfRule>
    <cfRule type="cellIs" dxfId="1166" priority="2111" operator="equal">
      <formula>"ID"</formula>
    </cfRule>
    <cfRule type="cellIs" dxfId="1165" priority="2112" operator="equal">
      <formula>"ID*"</formula>
    </cfRule>
  </conditionalFormatting>
  <conditionalFormatting sqref="AB283">
    <cfRule type="containsText" dxfId="1164" priority="2059" operator="containsText" text="[adv]">
      <formula>NOT(ISERROR(SEARCH("[adv]",AB283)))</formula>
    </cfRule>
    <cfRule type="containsText" dxfId="1163" priority="2060" operator="containsText" text="[pluk]">
      <formula>NOT(ISERROR(SEARCH("[pluk]",AB283)))</formula>
    </cfRule>
    <cfRule type="cellIs" dxfId="1162" priority="2061" operator="equal">
      <formula>"_"</formula>
    </cfRule>
    <cfRule type="cellIs" dxfId="1161" priority="2077" operator="equal">
      <formula>"ID+"</formula>
    </cfRule>
    <cfRule type="cellIs" dxfId="1160" priority="2078" operator="equal">
      <formula>"HK*"</formula>
    </cfRule>
    <cfRule type="cellIs" dxfId="1159" priority="2079" operator="equal">
      <formula>"HK"</formula>
    </cfRule>
    <cfRule type="cellIs" dxfId="1158" priority="2080" operator="equal">
      <formula>"HK+"</formula>
    </cfRule>
    <cfRule type="cellIs" dxfId="1157" priority="2081" operator="equal">
      <formula>"ID"</formula>
    </cfRule>
    <cfRule type="cellIs" dxfId="1156" priority="2082" operator="equal">
      <formula>"ID*"</formula>
    </cfRule>
  </conditionalFormatting>
  <conditionalFormatting sqref="AB291">
    <cfRule type="containsText" dxfId="1155" priority="2028" operator="containsText" text="[adv]">
      <formula>NOT(ISERROR(SEARCH("[adv]",AB291)))</formula>
    </cfRule>
    <cfRule type="containsText" dxfId="1154" priority="2029" operator="containsText" text="[pluk]">
      <formula>NOT(ISERROR(SEARCH("[pluk]",AB291)))</formula>
    </cfRule>
    <cfRule type="cellIs" dxfId="1153" priority="2030" operator="equal">
      <formula>"_"</formula>
    </cfRule>
    <cfRule type="cellIs" dxfId="1152" priority="2048" operator="equal">
      <formula>"ID+"</formula>
    </cfRule>
    <cfRule type="cellIs" dxfId="1151" priority="2049" operator="equal">
      <formula>"HK*"</formula>
    </cfRule>
    <cfRule type="cellIs" dxfId="1150" priority="2050" operator="equal">
      <formula>"HK"</formula>
    </cfRule>
    <cfRule type="cellIs" dxfId="1149" priority="2051" operator="equal">
      <formula>"HK+"</formula>
    </cfRule>
    <cfRule type="cellIs" dxfId="1148" priority="2052" operator="equal">
      <formula>"ID"</formula>
    </cfRule>
    <cfRule type="cellIs" dxfId="1147" priority="2053" operator="equal">
      <formula>"ID*"</formula>
    </cfRule>
  </conditionalFormatting>
  <conditionalFormatting sqref="AB299">
    <cfRule type="containsText" dxfId="1146" priority="1997" operator="containsText" text="[adv]">
      <formula>NOT(ISERROR(SEARCH("[adv]",AB299)))</formula>
    </cfRule>
    <cfRule type="containsText" dxfId="1145" priority="1998" operator="containsText" text="[pluk]">
      <formula>NOT(ISERROR(SEARCH("[pluk]",AB299)))</formula>
    </cfRule>
    <cfRule type="cellIs" dxfId="1144" priority="1999" operator="equal">
      <formula>"_"</formula>
    </cfRule>
    <cfRule type="cellIs" dxfId="1143" priority="2016" operator="equal">
      <formula>"ID+"</formula>
    </cfRule>
    <cfRule type="cellIs" dxfId="1142" priority="2017" operator="equal">
      <formula>"HK*"</formula>
    </cfRule>
    <cfRule type="cellIs" dxfId="1141" priority="2018" operator="equal">
      <formula>"HK"</formula>
    </cfRule>
    <cfRule type="cellIs" dxfId="1140" priority="2019" operator="equal">
      <formula>"HK+"</formula>
    </cfRule>
    <cfRule type="cellIs" dxfId="1139" priority="2020" operator="equal">
      <formula>"ID"</formula>
    </cfRule>
    <cfRule type="cellIs" dxfId="1138" priority="2021" operator="equal">
      <formula>"ID*"</formula>
    </cfRule>
  </conditionalFormatting>
  <conditionalFormatting sqref="AB307">
    <cfRule type="containsText" dxfId="1137" priority="1965" operator="containsText" text="[adv]">
      <formula>NOT(ISERROR(SEARCH("[adv]",AB307)))</formula>
    </cfRule>
    <cfRule type="containsText" dxfId="1136" priority="1966" operator="containsText" text="[pluk]">
      <formula>NOT(ISERROR(SEARCH("[pluk]",AB307)))</formula>
    </cfRule>
    <cfRule type="cellIs" dxfId="1135" priority="1967" operator="equal">
      <formula>"_"</formula>
    </cfRule>
    <cfRule type="cellIs" dxfId="1134" priority="1985" operator="equal">
      <formula>"ID+"</formula>
    </cfRule>
    <cfRule type="cellIs" dxfId="1133" priority="1986" operator="equal">
      <formula>"HK*"</formula>
    </cfRule>
    <cfRule type="cellIs" dxfId="1132" priority="1987" operator="equal">
      <formula>"HK"</formula>
    </cfRule>
    <cfRule type="cellIs" dxfId="1131" priority="1988" operator="equal">
      <formula>"HK+"</formula>
    </cfRule>
    <cfRule type="cellIs" dxfId="1130" priority="1989" operator="equal">
      <formula>"ID"</formula>
    </cfRule>
    <cfRule type="cellIs" dxfId="1129" priority="1990" operator="equal">
      <formula>"ID*"</formula>
    </cfRule>
  </conditionalFormatting>
  <conditionalFormatting sqref="AB315">
    <cfRule type="containsText" dxfId="1128" priority="1934" operator="containsText" text="[adv]">
      <formula>NOT(ISERROR(SEARCH("[adv]",AB315)))</formula>
    </cfRule>
    <cfRule type="containsText" dxfId="1127" priority="1935" operator="containsText" text="[pluk]">
      <formula>NOT(ISERROR(SEARCH("[pluk]",AB315)))</formula>
    </cfRule>
    <cfRule type="cellIs" dxfId="1126" priority="1936" operator="equal">
      <formula>"_"</formula>
    </cfRule>
    <cfRule type="cellIs" dxfId="1125" priority="1953" operator="equal">
      <formula>"ID+"</formula>
    </cfRule>
    <cfRule type="cellIs" dxfId="1124" priority="1954" operator="equal">
      <formula>"HK*"</formula>
    </cfRule>
    <cfRule type="cellIs" dxfId="1123" priority="1955" operator="equal">
      <formula>"HK"</formula>
    </cfRule>
    <cfRule type="cellIs" dxfId="1122" priority="1956" operator="equal">
      <formula>"HK+"</formula>
    </cfRule>
    <cfRule type="cellIs" dxfId="1121" priority="1957" operator="equal">
      <formula>"ID"</formula>
    </cfRule>
    <cfRule type="cellIs" dxfId="1120" priority="1958" operator="equal">
      <formula>"ID*"</formula>
    </cfRule>
  </conditionalFormatting>
  <conditionalFormatting sqref="AB323">
    <cfRule type="containsText" dxfId="1119" priority="1902" operator="containsText" text="[adv]">
      <formula>NOT(ISERROR(SEARCH("[adv]",AB323)))</formula>
    </cfRule>
    <cfRule type="containsText" dxfId="1118" priority="1903" operator="containsText" text="[pluk]">
      <formula>NOT(ISERROR(SEARCH("[pluk]",AB323)))</formula>
    </cfRule>
    <cfRule type="cellIs" dxfId="1117" priority="1904" operator="equal">
      <formula>"_"</formula>
    </cfRule>
    <cfRule type="cellIs" dxfId="1116" priority="1922" operator="equal">
      <formula>"ID+"</formula>
    </cfRule>
    <cfRule type="cellIs" dxfId="1115" priority="1923" operator="equal">
      <formula>"HK*"</formula>
    </cfRule>
    <cfRule type="cellIs" dxfId="1114" priority="1924" operator="equal">
      <formula>"HK"</formula>
    </cfRule>
    <cfRule type="cellIs" dxfId="1113" priority="1925" operator="equal">
      <formula>"HK+"</formula>
    </cfRule>
    <cfRule type="cellIs" dxfId="1112" priority="1926" operator="equal">
      <formula>"ID"</formula>
    </cfRule>
    <cfRule type="cellIs" dxfId="1111" priority="1927" operator="equal">
      <formula>"ID*"</formula>
    </cfRule>
  </conditionalFormatting>
  <conditionalFormatting sqref="AB331">
    <cfRule type="containsText" dxfId="1110" priority="1871" operator="containsText" text="[adv]">
      <formula>NOT(ISERROR(SEARCH("[adv]",AB331)))</formula>
    </cfRule>
    <cfRule type="containsText" dxfId="1109" priority="1872" operator="containsText" text="[pluk]">
      <formula>NOT(ISERROR(SEARCH("[pluk]",AB331)))</formula>
    </cfRule>
    <cfRule type="cellIs" dxfId="1108" priority="1873" operator="equal">
      <formula>"_"</formula>
    </cfRule>
    <cfRule type="cellIs" dxfId="1107" priority="1890" operator="equal">
      <formula>"ID+"</formula>
    </cfRule>
    <cfRule type="cellIs" dxfId="1106" priority="1891" operator="equal">
      <formula>"HK*"</formula>
    </cfRule>
    <cfRule type="cellIs" dxfId="1105" priority="1892" operator="equal">
      <formula>"HK"</formula>
    </cfRule>
    <cfRule type="cellIs" dxfId="1104" priority="1893" operator="equal">
      <formula>"HK+"</formula>
    </cfRule>
    <cfRule type="cellIs" dxfId="1103" priority="1894" operator="equal">
      <formula>"ID"</formula>
    </cfRule>
    <cfRule type="cellIs" dxfId="1102" priority="1895" operator="equal">
      <formula>"ID*"</formula>
    </cfRule>
  </conditionalFormatting>
  <conditionalFormatting sqref="AB339">
    <cfRule type="containsText" dxfId="1101" priority="1839" operator="containsText" text="[adv]">
      <formula>NOT(ISERROR(SEARCH("[adv]",AB339)))</formula>
    </cfRule>
    <cfRule type="containsText" dxfId="1100" priority="1840" operator="containsText" text="[pluk]">
      <formula>NOT(ISERROR(SEARCH("[pluk]",AB339)))</formula>
    </cfRule>
    <cfRule type="cellIs" dxfId="1099" priority="1841" operator="equal">
      <formula>"_"</formula>
    </cfRule>
    <cfRule type="cellIs" dxfId="1098" priority="1859" operator="equal">
      <formula>"ID+"</formula>
    </cfRule>
    <cfRule type="cellIs" dxfId="1097" priority="1860" operator="equal">
      <formula>"HK*"</formula>
    </cfRule>
    <cfRule type="cellIs" dxfId="1096" priority="1861" operator="equal">
      <formula>"HK"</formula>
    </cfRule>
    <cfRule type="cellIs" dxfId="1095" priority="1862" operator="equal">
      <formula>"HK+"</formula>
    </cfRule>
    <cfRule type="cellIs" dxfId="1094" priority="1863" operator="equal">
      <formula>"ID"</formula>
    </cfRule>
    <cfRule type="cellIs" dxfId="1093" priority="1864" operator="equal">
      <formula>"ID*"</formula>
    </cfRule>
  </conditionalFormatting>
  <conditionalFormatting sqref="AB347">
    <cfRule type="containsText" dxfId="1092" priority="1808" operator="containsText" text="[adv]">
      <formula>NOT(ISERROR(SEARCH("[adv]",AB347)))</formula>
    </cfRule>
    <cfRule type="containsText" dxfId="1091" priority="1809" operator="containsText" text="[pluk]">
      <formula>NOT(ISERROR(SEARCH("[pluk]",AB347)))</formula>
    </cfRule>
    <cfRule type="cellIs" dxfId="1090" priority="1810" operator="equal">
      <formula>"_"</formula>
    </cfRule>
    <cfRule type="cellIs" dxfId="1089" priority="1827" operator="equal">
      <formula>"ID+"</formula>
    </cfRule>
    <cfRule type="cellIs" dxfId="1088" priority="1828" operator="equal">
      <formula>"HK*"</formula>
    </cfRule>
    <cfRule type="cellIs" dxfId="1087" priority="1829" operator="equal">
      <formula>"HK"</formula>
    </cfRule>
    <cfRule type="cellIs" dxfId="1086" priority="1830" operator="equal">
      <formula>"HK+"</formula>
    </cfRule>
    <cfRule type="cellIs" dxfId="1085" priority="1831" operator="equal">
      <formula>"ID"</formula>
    </cfRule>
    <cfRule type="cellIs" dxfId="1084" priority="1832" operator="equal">
      <formula>"ID*"</formula>
    </cfRule>
  </conditionalFormatting>
  <conditionalFormatting sqref="AB355">
    <cfRule type="containsText" dxfId="1083" priority="1775" operator="containsText" text="[adv]">
      <formula>NOT(ISERROR(SEARCH("[adv]",AB355)))</formula>
    </cfRule>
    <cfRule type="containsText" dxfId="1082" priority="1776" operator="containsText" text="[pluk]">
      <formula>NOT(ISERROR(SEARCH("[pluk]",AB355)))</formula>
    </cfRule>
    <cfRule type="cellIs" dxfId="1081" priority="1777" operator="equal">
      <formula>"_"</formula>
    </cfRule>
    <cfRule type="cellIs" dxfId="1080" priority="1795" operator="equal">
      <formula>"ID+"</formula>
    </cfRule>
    <cfRule type="cellIs" dxfId="1079" priority="1796" operator="equal">
      <formula>"HK*"</formula>
    </cfRule>
    <cfRule type="cellIs" dxfId="1078" priority="1797" operator="equal">
      <formula>"HK"</formula>
    </cfRule>
    <cfRule type="cellIs" dxfId="1077" priority="1798" operator="equal">
      <formula>"HK+"</formula>
    </cfRule>
    <cfRule type="cellIs" dxfId="1076" priority="1799" operator="equal">
      <formula>"ID"</formula>
    </cfRule>
    <cfRule type="cellIs" dxfId="1075" priority="1800" operator="equal">
      <formula>"ID*"</formula>
    </cfRule>
  </conditionalFormatting>
  <conditionalFormatting sqref="AB363">
    <cfRule type="containsText" dxfId="1074" priority="1744" operator="containsText" text="[adv]">
      <formula>NOT(ISERROR(SEARCH("[adv]",AB363)))</formula>
    </cfRule>
    <cfRule type="containsText" dxfId="1073" priority="1745" operator="containsText" text="[pluk]">
      <formula>NOT(ISERROR(SEARCH("[pluk]",AB363)))</formula>
    </cfRule>
    <cfRule type="cellIs" dxfId="1072" priority="1746" operator="equal">
      <formula>"_"</formula>
    </cfRule>
    <cfRule type="cellIs" dxfId="1071" priority="1763" operator="equal">
      <formula>"ID+"</formula>
    </cfRule>
    <cfRule type="cellIs" dxfId="1070" priority="1764" operator="equal">
      <formula>"HK*"</formula>
    </cfRule>
    <cfRule type="cellIs" dxfId="1069" priority="1765" operator="equal">
      <formula>"HK"</formula>
    </cfRule>
    <cfRule type="cellIs" dxfId="1068" priority="1766" operator="equal">
      <formula>"HK+"</formula>
    </cfRule>
    <cfRule type="cellIs" dxfId="1067" priority="1767" operator="equal">
      <formula>"ID"</formula>
    </cfRule>
    <cfRule type="cellIs" dxfId="1066" priority="1768" operator="equal">
      <formula>"ID*"</formula>
    </cfRule>
  </conditionalFormatting>
  <conditionalFormatting sqref="AB371">
    <cfRule type="containsText" dxfId="1065" priority="1712" operator="containsText" text="[adv]">
      <formula>NOT(ISERROR(SEARCH("[adv]",AB371)))</formula>
    </cfRule>
    <cfRule type="containsText" dxfId="1064" priority="1713" operator="containsText" text="[pluk]">
      <formula>NOT(ISERROR(SEARCH("[pluk]",AB371)))</formula>
    </cfRule>
    <cfRule type="cellIs" dxfId="1063" priority="1714" operator="equal">
      <formula>"_"</formula>
    </cfRule>
    <cfRule type="cellIs" dxfId="1062" priority="1732" operator="equal">
      <formula>"ID+"</formula>
    </cfRule>
    <cfRule type="cellIs" dxfId="1061" priority="1733" operator="equal">
      <formula>"HK*"</formula>
    </cfRule>
    <cfRule type="cellIs" dxfId="1060" priority="1734" operator="equal">
      <formula>"HK"</formula>
    </cfRule>
    <cfRule type="cellIs" dxfId="1059" priority="1735" operator="equal">
      <formula>"HK+"</formula>
    </cfRule>
    <cfRule type="cellIs" dxfId="1058" priority="1736" operator="equal">
      <formula>"ID"</formula>
    </cfRule>
    <cfRule type="cellIs" dxfId="1057" priority="1737" operator="equal">
      <formula>"ID*"</formula>
    </cfRule>
  </conditionalFormatting>
  <conditionalFormatting sqref="AB379">
    <cfRule type="containsText" dxfId="1056" priority="1681" operator="containsText" text="[adv]">
      <formula>NOT(ISERROR(SEARCH("[adv]",AB379)))</formula>
    </cfRule>
    <cfRule type="containsText" dxfId="1055" priority="1682" operator="containsText" text="[pluk]">
      <formula>NOT(ISERROR(SEARCH("[pluk]",AB379)))</formula>
    </cfRule>
    <cfRule type="cellIs" dxfId="1054" priority="1683" operator="equal">
      <formula>"_"</formula>
    </cfRule>
    <cfRule type="cellIs" dxfId="1053" priority="1700" operator="equal">
      <formula>"ID+"</formula>
    </cfRule>
    <cfRule type="cellIs" dxfId="1052" priority="1701" operator="equal">
      <formula>"HK*"</formula>
    </cfRule>
    <cfRule type="cellIs" dxfId="1051" priority="1702" operator="equal">
      <formula>"HK"</formula>
    </cfRule>
    <cfRule type="cellIs" dxfId="1050" priority="1703" operator="equal">
      <formula>"HK+"</formula>
    </cfRule>
    <cfRule type="cellIs" dxfId="1049" priority="1704" operator="equal">
      <formula>"ID"</formula>
    </cfRule>
    <cfRule type="cellIs" dxfId="1048" priority="1705" operator="equal">
      <formula>"ID*"</formula>
    </cfRule>
  </conditionalFormatting>
  <conditionalFormatting sqref="AB387">
    <cfRule type="containsText" dxfId="1047" priority="1651" operator="containsText" text="[adv]">
      <formula>NOT(ISERROR(SEARCH("[adv]",AB387)))</formula>
    </cfRule>
    <cfRule type="containsText" dxfId="1046" priority="1652" operator="containsText" text="[pluk]">
      <formula>NOT(ISERROR(SEARCH("[pluk]",AB387)))</formula>
    </cfRule>
    <cfRule type="cellIs" dxfId="1045" priority="1653" operator="equal">
      <formula>"_"</formula>
    </cfRule>
    <cfRule type="cellIs" dxfId="1044" priority="1670" operator="equal">
      <formula>"ID+"</formula>
    </cfRule>
    <cfRule type="cellIs" dxfId="1043" priority="1671" operator="equal">
      <formula>"HK*"</formula>
    </cfRule>
    <cfRule type="cellIs" dxfId="1042" priority="1672" operator="equal">
      <formula>"HK"</formula>
    </cfRule>
    <cfRule type="cellIs" dxfId="1041" priority="1673" operator="equal">
      <formula>"HK+"</formula>
    </cfRule>
    <cfRule type="cellIs" dxfId="1040" priority="1674" operator="equal">
      <formula>"ID"</formula>
    </cfRule>
    <cfRule type="cellIs" dxfId="1039" priority="1675" operator="equal">
      <formula>"ID*"</formula>
    </cfRule>
  </conditionalFormatting>
  <conditionalFormatting sqref="AB395">
    <cfRule type="containsText" dxfId="1038" priority="1622" operator="containsText" text="[adv]">
      <formula>NOT(ISERROR(SEARCH("[adv]",AB395)))</formula>
    </cfRule>
    <cfRule type="containsText" dxfId="1037" priority="1623" operator="containsText" text="[pluk]">
      <formula>NOT(ISERROR(SEARCH("[pluk]",AB395)))</formula>
    </cfRule>
    <cfRule type="cellIs" dxfId="1036" priority="1624" operator="equal">
      <formula>"_"</formula>
    </cfRule>
    <cfRule type="cellIs" dxfId="1035" priority="1640" operator="equal">
      <formula>"ID+"</formula>
    </cfRule>
    <cfRule type="cellIs" dxfId="1034" priority="1641" operator="equal">
      <formula>"HK*"</formula>
    </cfRule>
    <cfRule type="cellIs" dxfId="1033" priority="1642" operator="equal">
      <formula>"HK"</formula>
    </cfRule>
    <cfRule type="cellIs" dxfId="1032" priority="1643" operator="equal">
      <formula>"HK+"</formula>
    </cfRule>
    <cfRule type="cellIs" dxfId="1031" priority="1644" operator="equal">
      <formula>"ID"</formula>
    </cfRule>
    <cfRule type="cellIs" dxfId="1030" priority="1645" operator="equal">
      <formula>"ID*"</formula>
    </cfRule>
  </conditionalFormatting>
  <conditionalFormatting sqref="AB403">
    <cfRule type="containsText" dxfId="1029" priority="1590" operator="containsText" text="[adv]">
      <formula>NOT(ISERROR(SEARCH("[adv]",AB403)))</formula>
    </cfRule>
    <cfRule type="containsText" dxfId="1028" priority="1591" operator="containsText" text="[pluk]">
      <formula>NOT(ISERROR(SEARCH("[pluk]",AB403)))</formula>
    </cfRule>
    <cfRule type="cellIs" dxfId="1027" priority="1592" operator="equal">
      <formula>"_"</formula>
    </cfRule>
    <cfRule type="cellIs" dxfId="1026" priority="1610" operator="equal">
      <formula>"ID+"</formula>
    </cfRule>
    <cfRule type="cellIs" dxfId="1025" priority="1611" operator="equal">
      <formula>"HK*"</formula>
    </cfRule>
    <cfRule type="cellIs" dxfId="1024" priority="1612" operator="equal">
      <formula>"HK"</formula>
    </cfRule>
    <cfRule type="cellIs" dxfId="1023" priority="1613" operator="equal">
      <formula>"HK+"</formula>
    </cfRule>
    <cfRule type="cellIs" dxfId="1022" priority="1614" operator="equal">
      <formula>"ID"</formula>
    </cfRule>
    <cfRule type="cellIs" dxfId="1021" priority="1615" operator="equal">
      <formula>"ID*"</formula>
    </cfRule>
  </conditionalFormatting>
  <conditionalFormatting sqref="AB411">
    <cfRule type="containsText" dxfId="1020" priority="1559" operator="containsText" text="[adv]">
      <formula>NOT(ISERROR(SEARCH("[adv]",AB411)))</formula>
    </cfRule>
    <cfRule type="containsText" dxfId="1019" priority="1560" operator="containsText" text="[pluk]">
      <formula>NOT(ISERROR(SEARCH("[pluk]",AB411)))</formula>
    </cfRule>
    <cfRule type="cellIs" dxfId="1018" priority="1561" operator="equal">
      <formula>"_"</formula>
    </cfRule>
    <cfRule type="cellIs" dxfId="1017" priority="1578" operator="equal">
      <formula>"ID+"</formula>
    </cfRule>
    <cfRule type="cellIs" dxfId="1016" priority="1579" operator="equal">
      <formula>"HK*"</formula>
    </cfRule>
    <cfRule type="cellIs" dxfId="1015" priority="1580" operator="equal">
      <formula>"HK"</formula>
    </cfRule>
    <cfRule type="cellIs" dxfId="1014" priority="1581" operator="equal">
      <formula>"HK+"</formula>
    </cfRule>
    <cfRule type="cellIs" dxfId="1013" priority="1582" operator="equal">
      <formula>"ID"</formula>
    </cfRule>
    <cfRule type="cellIs" dxfId="1012" priority="1583" operator="equal">
      <formula>"ID*"</formula>
    </cfRule>
  </conditionalFormatting>
  <conditionalFormatting sqref="AB108:AC108">
    <cfRule type="containsText" dxfId="1011" priority="7465" operator="containsText" text="[adv]">
      <formula>NOT(ISERROR(SEARCH("[adv]",AB108)))</formula>
    </cfRule>
  </conditionalFormatting>
  <conditionalFormatting sqref="AB118:AC118">
    <cfRule type="containsText" dxfId="1010" priority="7445" operator="containsText" text="[pluk]">
      <formula>NOT(ISERROR(SEARCH("[pluk]",AB118)))</formula>
    </cfRule>
  </conditionalFormatting>
  <conditionalFormatting sqref="AB126:AC126 AE126:AG126">
    <cfRule type="timePeriod" dxfId="1009" priority="8072" timePeriod="thisMonth">
      <formula>AND(MONTH(AB126)=MONTH(TODAY()),YEAR(AB126)=YEAR(TODAY()))</formula>
    </cfRule>
    <cfRule type="containsText" dxfId="1008" priority="8073" operator="containsText" text="[adv]">
      <formula>NOT(ISERROR(SEARCH("[adv]",AB126)))</formula>
    </cfRule>
  </conditionalFormatting>
  <conditionalFormatting sqref="AB134:AC134 AE134:AF134">
    <cfRule type="timePeriod" dxfId="1007" priority="7374" timePeriod="thisMonth">
      <formula>AND(MONTH(AB134)=MONTH(TODAY()),YEAR(AB134)=YEAR(TODAY()))</formula>
    </cfRule>
    <cfRule type="containsText" dxfId="1006" priority="7375" operator="containsText" text="[adv]">
      <formula>NOT(ISERROR(SEARCH("[adv]",AB134)))</formula>
    </cfRule>
    <cfRule type="containsText" dxfId="1005" priority="7376" operator="containsText" text="[pluk]">
      <formula>NOT(ISERROR(SEARCH("[pluk]",AB134)))</formula>
    </cfRule>
    <cfRule type="timePeriod" dxfId="1004" priority="7377" timePeriod="thisMonth">
      <formula>AND(MONTH(AB134)=MONTH(TODAY()),YEAR(AB134)=YEAR(TODAY()))</formula>
    </cfRule>
  </conditionalFormatting>
  <conditionalFormatting sqref="AB134:AC134">
    <cfRule type="cellIs" dxfId="1003" priority="7361" operator="equal">
      <formula>"_"</formula>
    </cfRule>
  </conditionalFormatting>
  <conditionalFormatting sqref="AB136:AC136 AE136:AF136">
    <cfRule type="cellIs" dxfId="1002" priority="7411" operator="equal">
      <formula>"_"</formula>
    </cfRule>
  </conditionalFormatting>
  <conditionalFormatting sqref="AB136:AC136">
    <cfRule type="containsText" dxfId="1001" priority="7300" operator="containsText" text="[pluk]">
      <formula>NOT(ISERROR(SEARCH("[pluk]",AB136)))</formula>
    </cfRule>
    <cfRule type="containsText" dxfId="1000" priority="7410" operator="containsText" text="[pluk]">
      <formula>NOT(ISERROR(SEARCH("[pluk]",AB136)))</formula>
    </cfRule>
  </conditionalFormatting>
  <conditionalFormatting sqref="AB141:AC141 AE141:AG141">
    <cfRule type="cellIs" dxfId="999" priority="7322" operator="equal">
      <formula>"_"</formula>
    </cfRule>
  </conditionalFormatting>
  <conditionalFormatting sqref="AB141:AC141">
    <cfRule type="containsText" dxfId="998" priority="7321" operator="containsText" text="[pluk]">
      <formula>NOT(ISERROR(SEARCH("[pluk]",AB141)))</formula>
    </cfRule>
  </conditionalFormatting>
  <conditionalFormatting sqref="AB184:AC184 AE184:AF184">
    <cfRule type="containsText" dxfId="997" priority="7135" operator="containsText" text="[adv]">
      <formula>NOT(ISERROR(SEARCH("[adv]",AB184)))</formula>
    </cfRule>
  </conditionalFormatting>
  <conditionalFormatting sqref="AB189:AC189 G168:G169 AE189:AG189">
    <cfRule type="notContainsBlanks" dxfId="996" priority="8104">
      <formula>LEN(TRIM(G168))&gt;0</formula>
    </cfRule>
  </conditionalFormatting>
  <conditionalFormatting sqref="AB189:AC189 AE189:AJ189">
    <cfRule type="cellIs" dxfId="995" priority="7101" operator="equal">
      <formula>"_"</formula>
    </cfRule>
  </conditionalFormatting>
  <conditionalFormatting sqref="AB197:AC197">
    <cfRule type="cellIs" dxfId="994" priority="6994" operator="equal">
      <formula>"_"</formula>
    </cfRule>
  </conditionalFormatting>
  <conditionalFormatting sqref="AC4:AC9">
    <cfRule type="containsText" dxfId="993" priority="7898" operator="containsText" text="[adv]">
      <formula>NOT(ISERROR(SEARCH("[adv]",AC4)))</formula>
    </cfRule>
  </conditionalFormatting>
  <conditionalFormatting sqref="AC10">
    <cfRule type="timePeriod" dxfId="992" priority="7899" timePeriod="thisMonth">
      <formula>AND(MONTH(AC10)=MONTH(TODAY()),YEAR(AC10)=YEAR(TODAY()))</formula>
    </cfRule>
  </conditionalFormatting>
  <conditionalFormatting sqref="AC13:AC14">
    <cfRule type="containsText" dxfId="991" priority="7895" operator="containsText" text="[adv]">
      <formula>NOT(ISERROR(SEARCH("[adv]",AC13)))</formula>
    </cfRule>
    <cfRule type="containsText" dxfId="990" priority="7896" operator="containsText" text="[pluk]">
      <formula>NOT(ISERROR(SEARCH("[pluk]",AC13)))</formula>
    </cfRule>
    <cfRule type="cellIs" dxfId="989" priority="7897" operator="equal">
      <formula>"_"</formula>
    </cfRule>
  </conditionalFormatting>
  <conditionalFormatting sqref="AC24">
    <cfRule type="notContainsBlanks" dxfId="988" priority="7912">
      <formula>LEN(TRIM(AC24))&gt;0</formula>
    </cfRule>
  </conditionalFormatting>
  <conditionalFormatting sqref="AC87:AC90 AC92:AC98 AC100:AC102">
    <cfRule type="cellIs" dxfId="987" priority="7640" operator="equal">
      <formula>"_"</formula>
    </cfRule>
  </conditionalFormatting>
  <conditionalFormatting sqref="AC108 AE84:AJ90 AE92:AJ98 AE100:AJ106 AE108:AJ108">
    <cfRule type="cellIs" dxfId="986" priority="7461" operator="equal">
      <formula>"_"</formula>
    </cfRule>
  </conditionalFormatting>
  <conditionalFormatting sqref="AC108">
    <cfRule type="cellIs" dxfId="985" priority="7466" operator="equal">
      <formula>"Moestuin"</formula>
    </cfRule>
    <cfRule type="cellIs" dxfId="984" priority="7467" operator="equal">
      <formula>"Hub"</formula>
    </cfRule>
    <cfRule type="cellIs" dxfId="983" priority="7468" operator="equal">
      <formula>"Snoeien"</formula>
    </cfRule>
    <cfRule type="cellIs" dxfId="982" priority="7469" operator="equal">
      <formula>"Biodiversiteit"</formula>
    </cfRule>
    <cfRule type="cellIs" dxfId="981" priority="7470" operator="equal">
      <formula>"Kamerplanten"</formula>
    </cfRule>
    <cfRule type="cellIs" dxfId="980" priority="7471" operator="equal">
      <formula>"RERUN"</formula>
    </cfRule>
    <cfRule type="cellIs" dxfId="979" priority="7472" operator="equal">
      <formula>"Kweken"</formula>
    </cfRule>
    <cfRule type="cellIs" dxfId="978" priority="7473" operator="equal">
      <formula>"Partnerbijdrage"</formula>
    </cfRule>
    <cfRule type="cellIs" dxfId="977" priority="7474" operator="equal">
      <formula>"TV-pagina"</formula>
    </cfRule>
    <cfRule type="cellIs" dxfId="976" priority="7475" operator="equal">
      <formula>"Tuinklussen"</formula>
    </cfRule>
    <cfRule type="cellIs" dxfId="975" priority="7476" operator="equal">
      <formula>"Inspiratie"</formula>
    </cfRule>
  </conditionalFormatting>
  <conditionalFormatting sqref="AC108:AC113">
    <cfRule type="containsText" dxfId="974" priority="7464" operator="containsText" text="[pluk]">
      <formula>NOT(ISERROR(SEARCH("[pluk]",AC108)))</formula>
    </cfRule>
  </conditionalFormatting>
  <conditionalFormatting sqref="AC115">
    <cfRule type="containsText" dxfId="973" priority="2685" operator="containsText" text="[pluk]">
      <formula>NOT(ISERROR(SEARCH("[pluk]",AC115)))</formula>
    </cfRule>
  </conditionalFormatting>
  <conditionalFormatting sqref="AC118">
    <cfRule type="containsText" dxfId="972" priority="7441" operator="containsText" text="[pluk]">
      <formula>NOT(ISERROR(SEARCH("[pluk]",AC118)))</formula>
    </cfRule>
  </conditionalFormatting>
  <conditionalFormatting sqref="AC123">
    <cfRule type="containsText" dxfId="971" priority="2658" operator="containsText" text="[pluk]">
      <formula>NOT(ISERROR(SEARCH("[pluk]",AC123)))</formula>
    </cfRule>
  </conditionalFormatting>
  <conditionalFormatting sqref="AC131">
    <cfRule type="containsText" dxfId="970" priority="2632" operator="containsText" text="[pluk]">
      <formula>NOT(ISERROR(SEARCH("[pluk]",AC131)))</formula>
    </cfRule>
  </conditionalFormatting>
  <conditionalFormatting sqref="AC135:AC136 AE134:AF136">
    <cfRule type="cellIs" dxfId="969" priority="7312" operator="equal">
      <formula>"_"</formula>
    </cfRule>
  </conditionalFormatting>
  <conditionalFormatting sqref="AC136 AE136:AF136">
    <cfRule type="containsText" dxfId="968" priority="7316" operator="containsText" text="[pluk]">
      <formula>NOT(ISERROR(SEARCH("[pluk]",AC136)))</formula>
    </cfRule>
  </conditionalFormatting>
  <conditionalFormatting sqref="AC136">
    <cfRule type="containsText" dxfId="967" priority="7296" operator="containsText" text="[pluk]">
      <formula>NOT(ISERROR(SEARCH("[pluk]",AC136)))</formula>
    </cfRule>
  </conditionalFormatting>
  <conditionalFormatting sqref="AC139">
    <cfRule type="containsText" dxfId="966" priority="2607" operator="containsText" text="[pluk]">
      <formula>NOT(ISERROR(SEARCH("[pluk]",AC139)))</formula>
    </cfRule>
  </conditionalFormatting>
  <conditionalFormatting sqref="AC141">
    <cfRule type="containsText" dxfId="965" priority="7317" operator="containsText" text="[pluk]">
      <formula>NOT(ISERROR(SEARCH("[pluk]",AC141)))</formula>
    </cfRule>
  </conditionalFormatting>
  <conditionalFormatting sqref="AC144">
    <cfRule type="timePeriod" dxfId="964" priority="7900" timePeriod="thisMonth">
      <formula>AND(MONTH(AC144)=MONTH(TODAY()),YEAR(AC144)=YEAR(TODAY()))</formula>
    </cfRule>
    <cfRule type="cellIs" dxfId="963" priority="7901" operator="equal">
      <formula>"Moestuin"</formula>
    </cfRule>
    <cfRule type="cellIs" dxfId="962" priority="7902" operator="equal">
      <formula>"Hub"</formula>
    </cfRule>
    <cfRule type="cellIs" dxfId="961" priority="7903" operator="equal">
      <formula>"Snoeien"</formula>
    </cfRule>
    <cfRule type="cellIs" dxfId="960" priority="7904" operator="equal">
      <formula>"Biodiversiteit"</formula>
    </cfRule>
    <cfRule type="cellIs" dxfId="959" priority="7905" operator="equal">
      <formula>"Kamerplanten"</formula>
    </cfRule>
    <cfRule type="cellIs" dxfId="958" priority="7906" operator="equal">
      <formula>"RERUN"</formula>
    </cfRule>
    <cfRule type="cellIs" dxfId="957" priority="7907" operator="equal">
      <formula>"Kweken"</formula>
    </cfRule>
    <cfRule type="cellIs" dxfId="956" priority="7908" operator="equal">
      <formula>"Partnerbijdrage"</formula>
    </cfRule>
    <cfRule type="cellIs" dxfId="955" priority="7909" operator="equal">
      <formula>"TV-pagina"</formula>
    </cfRule>
    <cfRule type="cellIs" dxfId="954" priority="7910" operator="equal">
      <formula>"Tuinklussen"</formula>
    </cfRule>
    <cfRule type="cellIs" dxfId="953" priority="7911" operator="equal">
      <formula>"Inspiratie"</formula>
    </cfRule>
  </conditionalFormatting>
  <conditionalFormatting sqref="AC147">
    <cfRule type="containsText" dxfId="952" priority="2581" operator="containsText" text="[pluk]">
      <formula>NOT(ISERROR(SEARCH("[pluk]",AC147)))</formula>
    </cfRule>
  </conditionalFormatting>
  <conditionalFormatting sqref="AC155">
    <cfRule type="containsText" dxfId="951" priority="2553" operator="containsText" text="[pluk]">
      <formula>NOT(ISERROR(SEARCH("[pluk]",AC155)))</formula>
    </cfRule>
  </conditionalFormatting>
  <conditionalFormatting sqref="AC163">
    <cfRule type="containsText" dxfId="950" priority="2526" operator="containsText" text="[pluk]">
      <formula>NOT(ISERROR(SEARCH("[pluk]",AC163)))</formula>
    </cfRule>
  </conditionalFormatting>
  <conditionalFormatting sqref="AC164 AE164:AF164">
    <cfRule type="cellIs" dxfId="949" priority="7340" operator="equal">
      <formula>"_"</formula>
    </cfRule>
  </conditionalFormatting>
  <conditionalFormatting sqref="AC171">
    <cfRule type="containsText" dxfId="948" priority="2498" operator="containsText" text="[pluk]">
      <formula>NOT(ISERROR(SEARCH("[pluk]",AC171)))</formula>
    </cfRule>
  </conditionalFormatting>
  <conditionalFormatting sqref="AC179">
    <cfRule type="containsText" dxfId="947" priority="2471" operator="containsText" text="[pluk]">
      <formula>NOT(ISERROR(SEARCH("[pluk]",AC179)))</formula>
    </cfRule>
  </conditionalFormatting>
  <conditionalFormatting sqref="AC184">
    <cfRule type="cellIs" dxfId="946" priority="7119" operator="equal">
      <formula>"_"</formula>
    </cfRule>
    <cfRule type="cellIs" dxfId="945" priority="7120" operator="equal">
      <formula>"Moestuin"</formula>
    </cfRule>
    <cfRule type="cellIs" dxfId="944" priority="7121" operator="equal">
      <formula>"Hub"</formula>
    </cfRule>
    <cfRule type="cellIs" dxfId="943" priority="7122" operator="equal">
      <formula>"Snoeien"</formula>
    </cfRule>
    <cfRule type="cellIs" dxfId="942" priority="7123" operator="equal">
      <formula>"Biodiversiteit"</formula>
    </cfRule>
    <cfRule type="cellIs" dxfId="941" priority="7124" operator="equal">
      <formula>"Kamerplanten"</formula>
    </cfRule>
    <cfRule type="cellIs" dxfId="940" priority="7125" operator="equal">
      <formula>"RERUN"</formula>
    </cfRule>
    <cfRule type="cellIs" dxfId="939" priority="7126" operator="equal">
      <formula>"Kweken"</formula>
    </cfRule>
    <cfRule type="cellIs" dxfId="938" priority="7127" operator="equal">
      <formula>"Partnerbijdrage"</formula>
    </cfRule>
    <cfRule type="cellIs" dxfId="937" priority="7128" operator="equal">
      <formula>"TV-pagina"</formula>
    </cfRule>
    <cfRule type="cellIs" dxfId="936" priority="7129" operator="equal">
      <formula>"Tuinklussen"</formula>
    </cfRule>
    <cfRule type="cellIs" dxfId="935" priority="7130" operator="equal">
      <formula>"Inspiratie"</formula>
    </cfRule>
  </conditionalFormatting>
  <conditionalFormatting sqref="AC187">
    <cfRule type="containsText" dxfId="934" priority="2440" operator="containsText" text="[pluk]">
      <formula>NOT(ISERROR(SEARCH("[pluk]",AC187)))</formula>
    </cfRule>
  </conditionalFormatting>
  <conditionalFormatting sqref="AC188 AE188:AF188">
    <cfRule type="cellIs" dxfId="933" priority="7338" operator="equal">
      <formula>"_"</formula>
    </cfRule>
  </conditionalFormatting>
  <conditionalFormatting sqref="AC190:AC194 AE199:AF199 AC196:AC202 AC204:AC210 AC212:AC218 AC220:AC226 AC228:AC234 AC236:AC242 AC244:AC250 AC252:AC258 AC260:AC266 AC268:AC274 AC276:AC282 AC284:AC290 AC292:AC298 AC300:AC306">
    <cfRule type="cellIs" dxfId="932" priority="6909" operator="equal">
      <formula>"_"</formula>
    </cfRule>
  </conditionalFormatting>
  <conditionalFormatting sqref="AC195">
    <cfRule type="containsText" dxfId="931" priority="2409" operator="containsText" text="[pluk]">
      <formula>NOT(ISERROR(SEARCH("[pluk]",AC195)))</formula>
    </cfRule>
  </conditionalFormatting>
  <conditionalFormatting sqref="AC203">
    <cfRule type="containsText" dxfId="930" priority="2377" operator="containsText" text="[pluk]">
      <formula>NOT(ISERROR(SEARCH("[pluk]",AC203)))</formula>
    </cfRule>
  </conditionalFormatting>
  <conditionalFormatting sqref="AC207:AC208">
    <cfRule type="containsText" dxfId="929" priority="6829" operator="containsText" text="[pluk]">
      <formula>NOT(ISERROR(SEARCH("[pluk]",AC207)))</formula>
    </cfRule>
  </conditionalFormatting>
  <conditionalFormatting sqref="AC211">
    <cfRule type="containsText" dxfId="928" priority="2346" operator="containsText" text="[pluk]">
      <formula>NOT(ISERROR(SEARCH("[pluk]",AC211)))</formula>
    </cfRule>
  </conditionalFormatting>
  <conditionalFormatting sqref="AC219">
    <cfRule type="containsText" dxfId="927" priority="2314" operator="containsText" text="[pluk]">
      <formula>NOT(ISERROR(SEARCH("[pluk]",AC219)))</formula>
    </cfRule>
  </conditionalFormatting>
  <conditionalFormatting sqref="AC227">
    <cfRule type="containsText" dxfId="926" priority="2283" operator="containsText" text="[pluk]">
      <formula>NOT(ISERROR(SEARCH("[pluk]",AC227)))</formula>
    </cfRule>
  </conditionalFormatting>
  <conditionalFormatting sqref="AC235">
    <cfRule type="containsText" dxfId="925" priority="2251" operator="containsText" text="[pluk]">
      <formula>NOT(ISERROR(SEARCH("[pluk]",AC235)))</formula>
    </cfRule>
  </conditionalFormatting>
  <conditionalFormatting sqref="AC243">
    <cfRule type="containsText" dxfId="924" priority="2220" operator="containsText" text="[pluk]">
      <formula>NOT(ISERROR(SEARCH("[pluk]",AC243)))</formula>
    </cfRule>
  </conditionalFormatting>
  <conditionalFormatting sqref="AC251">
    <cfRule type="containsText" dxfId="923" priority="2187" operator="containsText" text="[pluk]">
      <formula>NOT(ISERROR(SEARCH("[pluk]",AC251)))</formula>
    </cfRule>
  </conditionalFormatting>
  <conditionalFormatting sqref="AC259">
    <cfRule type="containsText" dxfId="922" priority="2155" operator="containsText" text="[pluk]">
      <formula>NOT(ISERROR(SEARCH("[pluk]",AC259)))</formula>
    </cfRule>
  </conditionalFormatting>
  <conditionalFormatting sqref="AC267">
    <cfRule type="containsText" dxfId="921" priority="2123" operator="containsText" text="[pluk]">
      <formula>NOT(ISERROR(SEARCH("[pluk]",AC267)))</formula>
    </cfRule>
  </conditionalFormatting>
  <conditionalFormatting sqref="AC275">
    <cfRule type="containsText" dxfId="920" priority="2092" operator="containsText" text="[pluk]">
      <formula>NOT(ISERROR(SEARCH("[pluk]",AC275)))</formula>
    </cfRule>
  </conditionalFormatting>
  <conditionalFormatting sqref="AC283">
    <cfRule type="containsText" dxfId="919" priority="2062" operator="containsText" text="[pluk]">
      <formula>NOT(ISERROR(SEARCH("[pluk]",AC283)))</formula>
    </cfRule>
  </conditionalFormatting>
  <conditionalFormatting sqref="AC291">
    <cfRule type="containsText" dxfId="918" priority="2033" operator="containsText" text="[pluk]">
      <formula>NOT(ISERROR(SEARCH("[pluk]",AC291)))</formula>
    </cfRule>
  </conditionalFormatting>
  <conditionalFormatting sqref="AC299">
    <cfRule type="containsText" dxfId="917" priority="2001" operator="containsText" text="[pluk]">
      <formula>NOT(ISERROR(SEARCH("[pluk]",AC299)))</formula>
    </cfRule>
  </conditionalFormatting>
  <conditionalFormatting sqref="AC307">
    <cfRule type="containsText" dxfId="916" priority="1970" operator="containsText" text="[pluk]">
      <formula>NOT(ISERROR(SEARCH("[pluk]",AC307)))</formula>
    </cfRule>
  </conditionalFormatting>
  <conditionalFormatting sqref="AC315">
    <cfRule type="containsText" dxfId="915" priority="1938" operator="containsText" text="[pluk]">
      <formula>NOT(ISERROR(SEARCH("[pluk]",AC315)))</formula>
    </cfRule>
  </conditionalFormatting>
  <conditionalFormatting sqref="AC323">
    <cfRule type="containsText" dxfId="914" priority="1907" operator="containsText" text="[pluk]">
      <formula>NOT(ISERROR(SEARCH("[pluk]",AC323)))</formula>
    </cfRule>
  </conditionalFormatting>
  <conditionalFormatting sqref="AC331">
    <cfRule type="containsText" dxfId="913" priority="1875" operator="containsText" text="[pluk]">
      <formula>NOT(ISERROR(SEARCH("[pluk]",AC331)))</formula>
    </cfRule>
  </conditionalFormatting>
  <conditionalFormatting sqref="AC339">
    <cfRule type="containsText" dxfId="912" priority="1844" operator="containsText" text="[pluk]">
      <formula>NOT(ISERROR(SEARCH("[pluk]",AC339)))</formula>
    </cfRule>
  </conditionalFormatting>
  <conditionalFormatting sqref="AC347">
    <cfRule type="containsText" dxfId="911" priority="1812" operator="containsText" text="[pluk]">
      <formula>NOT(ISERROR(SEARCH("[pluk]",AC347)))</formula>
    </cfRule>
  </conditionalFormatting>
  <conditionalFormatting sqref="AC355">
    <cfRule type="containsText" dxfId="910" priority="1780" operator="containsText" text="[pluk]">
      <formula>NOT(ISERROR(SEARCH("[pluk]",AC355)))</formula>
    </cfRule>
  </conditionalFormatting>
  <conditionalFormatting sqref="AC363">
    <cfRule type="containsText" dxfId="909" priority="1748" operator="containsText" text="[pluk]">
      <formula>NOT(ISERROR(SEARCH("[pluk]",AC363)))</formula>
    </cfRule>
  </conditionalFormatting>
  <conditionalFormatting sqref="AC371">
    <cfRule type="containsText" dxfId="908" priority="1717" operator="containsText" text="[pluk]">
      <formula>NOT(ISERROR(SEARCH("[pluk]",AC371)))</formula>
    </cfRule>
  </conditionalFormatting>
  <conditionalFormatting sqref="AC379">
    <cfRule type="containsText" dxfId="907" priority="1685" operator="containsText" text="[pluk]">
      <formula>NOT(ISERROR(SEARCH("[pluk]",AC379)))</formula>
    </cfRule>
  </conditionalFormatting>
  <conditionalFormatting sqref="AC387">
    <cfRule type="containsText" dxfId="906" priority="1655" operator="containsText" text="[pluk]">
      <formula>NOT(ISERROR(SEARCH("[pluk]",AC387)))</formula>
    </cfRule>
  </conditionalFormatting>
  <conditionalFormatting sqref="AC395">
    <cfRule type="containsText" dxfId="905" priority="1625" operator="containsText" text="[pluk]">
      <formula>NOT(ISERROR(SEARCH("[pluk]",AC395)))</formula>
    </cfRule>
  </conditionalFormatting>
  <conditionalFormatting sqref="AC403">
    <cfRule type="containsText" dxfId="904" priority="1595" operator="containsText" text="[pluk]">
      <formula>NOT(ISERROR(SEARCH("[pluk]",AC403)))</formula>
    </cfRule>
  </conditionalFormatting>
  <conditionalFormatting sqref="AC411">
    <cfRule type="containsText" dxfId="903" priority="1563" operator="containsText" text="[pluk]">
      <formula>NOT(ISERROR(SEARCH("[pluk]",AC411)))</formula>
    </cfRule>
  </conditionalFormatting>
  <conditionalFormatting sqref="AD1:AD2">
    <cfRule type="cellIs" dxfId="902" priority="5969" operator="equal">
      <formula>"Moestuin"</formula>
    </cfRule>
    <cfRule type="cellIs" dxfId="901" priority="5970" operator="equal">
      <formula>"Hub"</formula>
    </cfRule>
    <cfRule type="cellIs" dxfId="900" priority="5971" operator="equal">
      <formula>"Snoeien"</formula>
    </cfRule>
    <cfRule type="cellIs" dxfId="899" priority="5972" operator="equal">
      <formula>"Biodiversiteit"</formula>
    </cfRule>
    <cfRule type="cellIs" dxfId="898" priority="5973" operator="equal">
      <formula>"Kamerplanten"</formula>
    </cfRule>
    <cfRule type="cellIs" dxfId="897" priority="5974" operator="equal">
      <formula>"RERUN"</formula>
    </cfRule>
    <cfRule type="cellIs" dxfId="896" priority="5975" operator="equal">
      <formula>"Kweken"</formula>
    </cfRule>
    <cfRule type="cellIs" dxfId="895" priority="5976" operator="equal">
      <formula>"Partnerbijdrage"</formula>
    </cfRule>
    <cfRule type="cellIs" dxfId="894" priority="5977" operator="equal">
      <formula>"TV-pagina"</formula>
    </cfRule>
    <cfRule type="cellIs" dxfId="893" priority="5978" operator="equal">
      <formula>"Tuinklussen"</formula>
    </cfRule>
    <cfRule type="cellIs" dxfId="892" priority="5979" operator="equal">
      <formula>"Inspiratie"</formula>
    </cfRule>
  </conditionalFormatting>
  <conditionalFormatting sqref="AD4:AD10">
    <cfRule type="containsText" dxfId="891" priority="4464" operator="containsText" text="[adv]">
      <formula>NOT(ISERROR(SEARCH("[adv]",AD4)))</formula>
    </cfRule>
    <cfRule type="containsText" dxfId="890" priority="4465" operator="containsText" text="[pluk]">
      <formula>NOT(ISERROR(SEARCH("[pluk]",AD4)))</formula>
    </cfRule>
    <cfRule type="cellIs" dxfId="889" priority="4466" operator="equal">
      <formula>"_"</formula>
    </cfRule>
    <cfRule type="cellIs" dxfId="888" priority="4467" operator="equal">
      <formula>"Moestuin"</formula>
    </cfRule>
    <cfRule type="cellIs" dxfId="887" priority="4468" operator="equal">
      <formula>"Hub"</formula>
    </cfRule>
    <cfRule type="cellIs" dxfId="886" priority="4469" operator="equal">
      <formula>"Snoeien"</formula>
    </cfRule>
    <cfRule type="cellIs" dxfId="885" priority="4470" operator="equal">
      <formula>"Biodiversiteit"</formula>
    </cfRule>
    <cfRule type="cellIs" dxfId="884" priority="4471" operator="equal">
      <formula>"Kamerplanten"</formula>
    </cfRule>
    <cfRule type="cellIs" dxfId="883" priority="4472" operator="equal">
      <formula>"RERUN"</formula>
    </cfRule>
    <cfRule type="cellIs" dxfId="882" priority="4473" operator="equal">
      <formula>"Kweken"</formula>
    </cfRule>
    <cfRule type="cellIs" dxfId="881" priority="4474" operator="equal">
      <formula>"Partnerbijdrage"</formula>
    </cfRule>
    <cfRule type="cellIs" dxfId="880" priority="4475" operator="equal">
      <formula>"TV-pagina"</formula>
    </cfRule>
    <cfRule type="cellIs" dxfId="879" priority="4476" operator="equal">
      <formula>"Tuinklussen"</formula>
    </cfRule>
    <cfRule type="cellIs" dxfId="878" priority="4477" operator="equal">
      <formula>"Inspiratie"</formula>
    </cfRule>
  </conditionalFormatting>
  <conditionalFormatting sqref="AD12:AD18">
    <cfRule type="containsText" dxfId="877" priority="4450" operator="containsText" text="[adv]">
      <formula>NOT(ISERROR(SEARCH("[adv]",AD12)))</formula>
    </cfRule>
    <cfRule type="containsText" dxfId="876" priority="4451" operator="containsText" text="[pluk]">
      <formula>NOT(ISERROR(SEARCH("[pluk]",AD12)))</formula>
    </cfRule>
    <cfRule type="cellIs" dxfId="875" priority="4452" operator="equal">
      <formula>"_"</formula>
    </cfRule>
    <cfRule type="cellIs" dxfId="874" priority="4453" operator="equal">
      <formula>"Moestuin"</formula>
    </cfRule>
    <cfRule type="cellIs" dxfId="873" priority="4454" operator="equal">
      <formula>"Hub"</formula>
    </cfRule>
    <cfRule type="cellIs" dxfId="872" priority="4455" operator="equal">
      <formula>"Snoeien"</formula>
    </cfRule>
    <cfRule type="cellIs" dxfId="871" priority="4456" operator="equal">
      <formula>"Biodiversiteit"</formula>
    </cfRule>
    <cfRule type="cellIs" dxfId="870" priority="4457" operator="equal">
      <formula>"Kamerplanten"</formula>
    </cfRule>
    <cfRule type="cellIs" dxfId="869" priority="4458" operator="equal">
      <formula>"RERUN"</formula>
    </cfRule>
    <cfRule type="cellIs" dxfId="868" priority="4459" operator="equal">
      <formula>"Kweken"</formula>
    </cfRule>
    <cfRule type="cellIs" dxfId="867" priority="4460" operator="equal">
      <formula>"Partnerbijdrage"</formula>
    </cfRule>
    <cfRule type="cellIs" dxfId="866" priority="4461" operator="equal">
      <formula>"TV-pagina"</formula>
    </cfRule>
    <cfRule type="cellIs" dxfId="865" priority="4462" operator="equal">
      <formula>"Tuinklussen"</formula>
    </cfRule>
    <cfRule type="cellIs" dxfId="864" priority="4463" operator="equal">
      <formula>"Inspiratie"</formula>
    </cfRule>
  </conditionalFormatting>
  <conditionalFormatting sqref="AD20:AD26">
    <cfRule type="containsText" dxfId="863" priority="4436" operator="containsText" text="[adv]">
      <formula>NOT(ISERROR(SEARCH("[adv]",AD20)))</formula>
    </cfRule>
    <cfRule type="containsText" dxfId="862" priority="4437" operator="containsText" text="[pluk]">
      <formula>NOT(ISERROR(SEARCH("[pluk]",AD20)))</formula>
    </cfRule>
    <cfRule type="cellIs" dxfId="861" priority="4438" operator="equal">
      <formula>"_"</formula>
    </cfRule>
    <cfRule type="cellIs" dxfId="860" priority="4439" operator="equal">
      <formula>"Moestuin"</formula>
    </cfRule>
    <cfRule type="cellIs" dxfId="859" priority="4440" operator="equal">
      <formula>"Hub"</formula>
    </cfRule>
    <cfRule type="cellIs" dxfId="858" priority="4441" operator="equal">
      <formula>"Snoeien"</formula>
    </cfRule>
    <cfRule type="cellIs" dxfId="857" priority="4442" operator="equal">
      <formula>"Biodiversiteit"</formula>
    </cfRule>
    <cfRule type="cellIs" dxfId="856" priority="4443" operator="equal">
      <formula>"Kamerplanten"</formula>
    </cfRule>
    <cfRule type="cellIs" dxfId="855" priority="4444" operator="equal">
      <formula>"RERUN"</formula>
    </cfRule>
    <cfRule type="cellIs" dxfId="854" priority="4445" operator="equal">
      <formula>"Kweken"</formula>
    </cfRule>
    <cfRule type="cellIs" dxfId="853" priority="4446" operator="equal">
      <formula>"Partnerbijdrage"</formula>
    </cfRule>
    <cfRule type="cellIs" dxfId="852" priority="4447" operator="equal">
      <formula>"TV-pagina"</formula>
    </cfRule>
    <cfRule type="cellIs" dxfId="851" priority="4448" operator="equal">
      <formula>"Tuinklussen"</formula>
    </cfRule>
    <cfRule type="cellIs" dxfId="850" priority="4449" operator="equal">
      <formula>"Inspiratie"</formula>
    </cfRule>
  </conditionalFormatting>
  <conditionalFormatting sqref="AD28:AD34">
    <cfRule type="containsText" dxfId="849" priority="4422" operator="containsText" text="[adv]">
      <formula>NOT(ISERROR(SEARCH("[adv]",AD28)))</formula>
    </cfRule>
    <cfRule type="containsText" dxfId="848" priority="4423" operator="containsText" text="[pluk]">
      <formula>NOT(ISERROR(SEARCH("[pluk]",AD28)))</formula>
    </cfRule>
    <cfRule type="cellIs" dxfId="847" priority="4424" operator="equal">
      <formula>"_"</formula>
    </cfRule>
    <cfRule type="cellIs" dxfId="846" priority="4425" operator="equal">
      <formula>"Moestuin"</formula>
    </cfRule>
    <cfRule type="cellIs" dxfId="845" priority="4426" operator="equal">
      <formula>"Hub"</formula>
    </cfRule>
    <cfRule type="cellIs" dxfId="844" priority="4427" operator="equal">
      <formula>"Snoeien"</formula>
    </cfRule>
    <cfRule type="cellIs" dxfId="843" priority="4428" operator="equal">
      <formula>"Biodiversiteit"</formula>
    </cfRule>
    <cfRule type="cellIs" dxfId="842" priority="4429" operator="equal">
      <formula>"Kamerplanten"</formula>
    </cfRule>
    <cfRule type="cellIs" dxfId="841" priority="4430" operator="equal">
      <formula>"RERUN"</formula>
    </cfRule>
    <cfRule type="cellIs" dxfId="840" priority="4431" operator="equal">
      <formula>"Kweken"</formula>
    </cfRule>
    <cfRule type="cellIs" dxfId="839" priority="4432" operator="equal">
      <formula>"Partnerbijdrage"</formula>
    </cfRule>
    <cfRule type="cellIs" dxfId="838" priority="4433" operator="equal">
      <formula>"TV-pagina"</formula>
    </cfRule>
    <cfRule type="cellIs" dxfId="837" priority="4434" operator="equal">
      <formula>"Tuinklussen"</formula>
    </cfRule>
    <cfRule type="cellIs" dxfId="836" priority="4435" operator="equal">
      <formula>"Inspiratie"</formula>
    </cfRule>
  </conditionalFormatting>
  <conditionalFormatting sqref="AD36:AD42">
    <cfRule type="containsText" dxfId="835" priority="4408" operator="containsText" text="[adv]">
      <formula>NOT(ISERROR(SEARCH("[adv]",AD36)))</formula>
    </cfRule>
    <cfRule type="containsText" dxfId="834" priority="4409" operator="containsText" text="[pluk]">
      <formula>NOT(ISERROR(SEARCH("[pluk]",AD36)))</formula>
    </cfRule>
    <cfRule type="cellIs" dxfId="833" priority="4410" operator="equal">
      <formula>"_"</formula>
    </cfRule>
    <cfRule type="cellIs" dxfId="832" priority="4411" operator="equal">
      <formula>"Moestuin"</formula>
    </cfRule>
    <cfRule type="cellIs" dxfId="831" priority="4412" operator="equal">
      <formula>"Hub"</formula>
    </cfRule>
    <cfRule type="cellIs" dxfId="830" priority="4413" operator="equal">
      <formula>"Snoeien"</formula>
    </cfRule>
    <cfRule type="cellIs" dxfId="829" priority="4414" operator="equal">
      <formula>"Biodiversiteit"</formula>
    </cfRule>
    <cfRule type="cellIs" dxfId="828" priority="4415" operator="equal">
      <formula>"Kamerplanten"</formula>
    </cfRule>
    <cfRule type="cellIs" dxfId="827" priority="4416" operator="equal">
      <formula>"RERUN"</formula>
    </cfRule>
    <cfRule type="cellIs" dxfId="826" priority="4417" operator="equal">
      <formula>"Kweken"</formula>
    </cfRule>
    <cfRule type="cellIs" dxfId="825" priority="4418" operator="equal">
      <formula>"Partnerbijdrage"</formula>
    </cfRule>
    <cfRule type="cellIs" dxfId="824" priority="4419" operator="equal">
      <formula>"TV-pagina"</formula>
    </cfRule>
    <cfRule type="cellIs" dxfId="823" priority="4420" operator="equal">
      <formula>"Tuinklussen"</formula>
    </cfRule>
    <cfRule type="cellIs" dxfId="822" priority="4421" operator="equal">
      <formula>"Inspiratie"</formula>
    </cfRule>
  </conditionalFormatting>
  <conditionalFormatting sqref="AD44:AD50">
    <cfRule type="containsText" dxfId="821" priority="4394" operator="containsText" text="[adv]">
      <formula>NOT(ISERROR(SEARCH("[adv]",AD44)))</formula>
    </cfRule>
    <cfRule type="containsText" dxfId="820" priority="4395" operator="containsText" text="[pluk]">
      <formula>NOT(ISERROR(SEARCH("[pluk]",AD44)))</formula>
    </cfRule>
    <cfRule type="cellIs" dxfId="819" priority="4396" operator="equal">
      <formula>"_"</formula>
    </cfRule>
    <cfRule type="cellIs" dxfId="818" priority="4397" operator="equal">
      <formula>"Moestuin"</formula>
    </cfRule>
    <cfRule type="cellIs" dxfId="817" priority="4398" operator="equal">
      <formula>"Hub"</formula>
    </cfRule>
    <cfRule type="cellIs" dxfId="816" priority="4399" operator="equal">
      <formula>"Snoeien"</formula>
    </cfRule>
    <cfRule type="cellIs" dxfId="815" priority="4400" operator="equal">
      <formula>"Biodiversiteit"</formula>
    </cfRule>
    <cfRule type="cellIs" dxfId="814" priority="4401" operator="equal">
      <formula>"Kamerplanten"</formula>
    </cfRule>
    <cfRule type="cellIs" dxfId="813" priority="4402" operator="equal">
      <formula>"RERUN"</formula>
    </cfRule>
    <cfRule type="cellIs" dxfId="812" priority="4403" operator="equal">
      <formula>"Kweken"</formula>
    </cfRule>
    <cfRule type="cellIs" dxfId="811" priority="4404" operator="equal">
      <formula>"Partnerbijdrage"</formula>
    </cfRule>
    <cfRule type="cellIs" dxfId="810" priority="4405" operator="equal">
      <formula>"TV-pagina"</formula>
    </cfRule>
    <cfRule type="cellIs" dxfId="809" priority="4406" operator="equal">
      <formula>"Tuinklussen"</formula>
    </cfRule>
    <cfRule type="cellIs" dxfId="808" priority="4407" operator="equal">
      <formula>"Inspiratie"</formula>
    </cfRule>
  </conditionalFormatting>
  <conditionalFormatting sqref="AD52:AD58">
    <cfRule type="containsText" dxfId="807" priority="4380" operator="containsText" text="[adv]">
      <formula>NOT(ISERROR(SEARCH("[adv]",AD52)))</formula>
    </cfRule>
    <cfRule type="containsText" dxfId="806" priority="4381" operator="containsText" text="[pluk]">
      <formula>NOT(ISERROR(SEARCH("[pluk]",AD52)))</formula>
    </cfRule>
    <cfRule type="cellIs" dxfId="805" priority="4382" operator="equal">
      <formula>"_"</formula>
    </cfRule>
    <cfRule type="cellIs" dxfId="804" priority="4383" operator="equal">
      <formula>"Moestuin"</formula>
    </cfRule>
    <cfRule type="cellIs" dxfId="803" priority="4384" operator="equal">
      <formula>"Hub"</formula>
    </cfRule>
    <cfRule type="cellIs" dxfId="802" priority="4385" operator="equal">
      <formula>"Snoeien"</formula>
    </cfRule>
    <cfRule type="cellIs" dxfId="801" priority="4386" operator="equal">
      <formula>"Biodiversiteit"</formula>
    </cfRule>
    <cfRule type="cellIs" dxfId="800" priority="4387" operator="equal">
      <formula>"Kamerplanten"</formula>
    </cfRule>
    <cfRule type="cellIs" dxfId="799" priority="4388" operator="equal">
      <formula>"RERUN"</formula>
    </cfRule>
    <cfRule type="cellIs" dxfId="798" priority="4389" operator="equal">
      <formula>"Kweken"</formula>
    </cfRule>
    <cfRule type="cellIs" dxfId="797" priority="4390" operator="equal">
      <formula>"Partnerbijdrage"</formula>
    </cfRule>
    <cfRule type="cellIs" dxfId="796" priority="4391" operator="equal">
      <formula>"TV-pagina"</formula>
    </cfRule>
    <cfRule type="cellIs" dxfId="795" priority="4392" operator="equal">
      <formula>"Tuinklussen"</formula>
    </cfRule>
    <cfRule type="cellIs" dxfId="794" priority="4393" operator="equal">
      <formula>"Inspiratie"</formula>
    </cfRule>
  </conditionalFormatting>
  <conditionalFormatting sqref="AD60:AD66">
    <cfRule type="containsText" dxfId="793" priority="4366" operator="containsText" text="[adv]">
      <formula>NOT(ISERROR(SEARCH("[adv]",AD60)))</formula>
    </cfRule>
    <cfRule type="containsText" dxfId="792" priority="4367" operator="containsText" text="[pluk]">
      <formula>NOT(ISERROR(SEARCH("[pluk]",AD60)))</formula>
    </cfRule>
    <cfRule type="cellIs" dxfId="791" priority="4368" operator="equal">
      <formula>"_"</formula>
    </cfRule>
    <cfRule type="cellIs" dxfId="790" priority="4369" operator="equal">
      <formula>"Moestuin"</formula>
    </cfRule>
    <cfRule type="cellIs" dxfId="789" priority="4370" operator="equal">
      <formula>"Hub"</formula>
    </cfRule>
    <cfRule type="cellIs" dxfId="788" priority="4371" operator="equal">
      <formula>"Snoeien"</formula>
    </cfRule>
    <cfRule type="cellIs" dxfId="787" priority="4372" operator="equal">
      <formula>"Biodiversiteit"</formula>
    </cfRule>
    <cfRule type="cellIs" dxfId="786" priority="4373" operator="equal">
      <formula>"Kamerplanten"</formula>
    </cfRule>
    <cfRule type="cellIs" dxfId="785" priority="4374" operator="equal">
      <formula>"RERUN"</formula>
    </cfRule>
    <cfRule type="cellIs" dxfId="784" priority="4375" operator="equal">
      <formula>"Kweken"</formula>
    </cfRule>
    <cfRule type="cellIs" dxfId="783" priority="4376" operator="equal">
      <formula>"Partnerbijdrage"</formula>
    </cfRule>
    <cfRule type="cellIs" dxfId="782" priority="4377" operator="equal">
      <formula>"TV-pagina"</formula>
    </cfRule>
    <cfRule type="cellIs" dxfId="781" priority="4378" operator="equal">
      <formula>"Tuinklussen"</formula>
    </cfRule>
    <cfRule type="cellIs" dxfId="780" priority="4379" operator="equal">
      <formula>"Inspiratie"</formula>
    </cfRule>
  </conditionalFormatting>
  <conditionalFormatting sqref="AD68:AD74">
    <cfRule type="containsText" dxfId="779" priority="4352" operator="containsText" text="[adv]">
      <formula>NOT(ISERROR(SEARCH("[adv]",AD68)))</formula>
    </cfRule>
    <cfRule type="containsText" dxfId="778" priority="4353" operator="containsText" text="[pluk]">
      <formula>NOT(ISERROR(SEARCH("[pluk]",AD68)))</formula>
    </cfRule>
    <cfRule type="cellIs" dxfId="777" priority="4354" operator="equal">
      <formula>"_"</formula>
    </cfRule>
    <cfRule type="cellIs" dxfId="776" priority="4355" operator="equal">
      <formula>"Moestuin"</formula>
    </cfRule>
    <cfRule type="cellIs" dxfId="775" priority="4356" operator="equal">
      <formula>"Hub"</formula>
    </cfRule>
    <cfRule type="cellIs" dxfId="774" priority="4357" operator="equal">
      <formula>"Snoeien"</formula>
    </cfRule>
    <cfRule type="cellIs" dxfId="773" priority="4358" operator="equal">
      <formula>"Biodiversiteit"</formula>
    </cfRule>
    <cfRule type="cellIs" dxfId="772" priority="4359" operator="equal">
      <formula>"Kamerplanten"</formula>
    </cfRule>
    <cfRule type="cellIs" dxfId="771" priority="4360" operator="equal">
      <formula>"RERUN"</formula>
    </cfRule>
    <cfRule type="cellIs" dxfId="770" priority="4361" operator="equal">
      <formula>"Kweken"</formula>
    </cfRule>
    <cfRule type="cellIs" dxfId="769" priority="4362" operator="equal">
      <formula>"Partnerbijdrage"</formula>
    </cfRule>
    <cfRule type="cellIs" dxfId="768" priority="4363" operator="equal">
      <formula>"TV-pagina"</formula>
    </cfRule>
    <cfRule type="cellIs" dxfId="767" priority="4364" operator="equal">
      <formula>"Tuinklussen"</formula>
    </cfRule>
    <cfRule type="cellIs" dxfId="766" priority="4365" operator="equal">
      <formula>"Inspiratie"</formula>
    </cfRule>
  </conditionalFormatting>
  <conditionalFormatting sqref="AD76">
    <cfRule type="containsText" dxfId="765" priority="80" operator="containsText" text="[adv]">
      <formula>NOT(ISERROR(SEARCH("[adv]",AD76)))</formula>
    </cfRule>
    <cfRule type="containsText" dxfId="764" priority="81" operator="containsText" text="[pluk]">
      <formula>NOT(ISERROR(SEARCH("[pluk]",AD76)))</formula>
    </cfRule>
    <cfRule type="cellIs" dxfId="763" priority="82" operator="equal">
      <formula>"_"</formula>
    </cfRule>
    <cfRule type="cellIs" dxfId="762" priority="83" operator="equal">
      <formula>"Moestuin"</formula>
    </cfRule>
    <cfRule type="cellIs" dxfId="761" priority="84" operator="equal">
      <formula>"Hub"</formula>
    </cfRule>
    <cfRule type="cellIs" dxfId="760" priority="85" operator="equal">
      <formula>"Snoeien"</formula>
    </cfRule>
    <cfRule type="cellIs" dxfId="759" priority="86" operator="equal">
      <formula>"Biodiversiteit"</formula>
    </cfRule>
    <cfRule type="cellIs" dxfId="758" priority="87" operator="equal">
      <formula>"Kamerplanten"</formula>
    </cfRule>
    <cfRule type="cellIs" dxfId="757" priority="88" operator="equal">
      <formula>"RERUN"</formula>
    </cfRule>
    <cfRule type="cellIs" dxfId="756" priority="89" operator="equal">
      <formula>"Kweken"</formula>
    </cfRule>
    <cfRule type="cellIs" dxfId="755" priority="90" operator="equal">
      <formula>"Partnerbijdrage"</formula>
    </cfRule>
    <cfRule type="cellIs" dxfId="754" priority="91" operator="equal">
      <formula>"TV-pagina"</formula>
    </cfRule>
    <cfRule type="cellIs" dxfId="753" priority="92" operator="equal">
      <formula>"Tuinklussen"</formula>
    </cfRule>
    <cfRule type="cellIs" dxfId="752" priority="93" operator="equal">
      <formula>"Inspiratie"</formula>
    </cfRule>
  </conditionalFormatting>
  <conditionalFormatting sqref="AD77:AD82 AD84:AD90 AD92:AD98 AD100:AD106 AD108:AD114 AD116:AD122 AD124:AD130 AD132:AD138 AD140:AD146 AD148:AD154 AD156:AD162 AD164:AD170 AD172:AD178 AD180:AD186 AD188:AD194 AD196:AD202 AD204:AD210 AD212:AD218 AD220:AD226 AD228:AD234 AD236:AD242 AD244:AD250 AD252:AD258 AD260:AD266 AD268:AD274 AD276:AD282 AD284:AD290 AD292:AD298 AD300:AD306 AD308:AD314 AB316:AJ322 AB324:AJ330 AB332:AJ338 AB340:AJ346 AB348:AJ354 AB356:AJ362 AB364:AJ370 AB372:AJ378 AB380:AJ386 AB388:AJ394 AB396:AJ402 AB404:AJ410 AB412:AJ419">
    <cfRule type="containsText" dxfId="751" priority="4802" operator="containsText" text="[pluk]">
      <formula>NOT(ISERROR(SEARCH("[pluk]",AB77)))</formula>
    </cfRule>
  </conditionalFormatting>
  <conditionalFormatting sqref="AD77:AD82 AD84:AD90 AD92:AD98 AD100:AD106 AD108:AD114 AD116:AD122 AD124:AD130 AD132:AD138 AD140:AD146 AD148:AD154 AD156:AD162 AD164:AD170 AD172:AD178 AD180:AD186 AD188:AD194 AD196:AD202 AD204:AD210 AD212:AD218 AD220:AD226 AD228:AD234 AD236:AD242 AD244:AD250 AD252:AD258 AD260:AD266 AD268:AD274 AD276:AD282 AD284:AD290 AD292:AD298 AD300:AD306 AD308:AD314 AD316:AD322 AD324:AD330 AD332:AD338 AD340:AD346 AD348:AD354 AD356:AD362 AD364:AD370 AD372:AD378 AD380:AD386 AD388:AD394 AD396:AD402 AD404:AD410 AD412:AD418">
    <cfRule type="containsText" dxfId="750" priority="4801" operator="containsText" text="[adv]">
      <formula>NOT(ISERROR(SEARCH("[adv]",AD77)))</formula>
    </cfRule>
    <cfRule type="cellIs" dxfId="749" priority="4803" operator="equal">
      <formula>"_"</formula>
    </cfRule>
    <cfRule type="cellIs" dxfId="748" priority="4804" operator="equal">
      <formula>"Moestuin"</formula>
    </cfRule>
    <cfRule type="cellIs" dxfId="747" priority="4805" operator="equal">
      <formula>"Hub"</formula>
    </cfRule>
    <cfRule type="cellIs" dxfId="746" priority="4806" operator="equal">
      <formula>"Snoeien"</formula>
    </cfRule>
    <cfRule type="cellIs" dxfId="745" priority="4807" operator="equal">
      <formula>"Biodiversiteit"</formula>
    </cfRule>
    <cfRule type="cellIs" dxfId="744" priority="4808" operator="equal">
      <formula>"Kamerplanten"</formula>
    </cfRule>
    <cfRule type="cellIs" dxfId="743" priority="4809" operator="equal">
      <formula>"RERUN"</formula>
    </cfRule>
    <cfRule type="cellIs" dxfId="742" priority="4810" operator="equal">
      <formula>"Kweken"</formula>
    </cfRule>
    <cfRule type="cellIs" dxfId="741" priority="4811" operator="equal">
      <formula>"Partnerbijdrage"</formula>
    </cfRule>
    <cfRule type="cellIs" dxfId="740" priority="4812" operator="equal">
      <formula>"TV-pagina"</formula>
    </cfRule>
    <cfRule type="cellIs" dxfId="739" priority="4813" operator="equal">
      <formula>"Tuinklussen"</formula>
    </cfRule>
    <cfRule type="cellIs" dxfId="738" priority="4814" operator="equal">
      <formula>"Inspiratie"</formula>
    </cfRule>
  </conditionalFormatting>
  <conditionalFormatting sqref="AD187:AJ187 F187:L187">
    <cfRule type="containsText" dxfId="737" priority="2461" operator="containsText" text="[pluk]">
      <formula>NOT(ISERROR(SEARCH("[pluk]",F187)))</formula>
    </cfRule>
  </conditionalFormatting>
  <conditionalFormatting sqref="AD195:AJ195 F195:L195">
    <cfRule type="containsText" dxfId="736" priority="2430" operator="containsText" text="[pluk]">
      <formula>NOT(ISERROR(SEARCH("[pluk]",F195)))</formula>
    </cfRule>
  </conditionalFormatting>
  <conditionalFormatting sqref="AD203:AJ203 F203:L203">
    <cfRule type="containsText" dxfId="735" priority="2398" operator="containsText" text="[pluk]">
      <formula>NOT(ISERROR(SEARCH("[pluk]",F203)))</formula>
    </cfRule>
  </conditionalFormatting>
  <conditionalFormatting sqref="AD211:AJ211 F211:L211">
    <cfRule type="containsText" dxfId="734" priority="2367" operator="containsText" text="[pluk]">
      <formula>NOT(ISERROR(SEARCH("[pluk]",F211)))</formula>
    </cfRule>
  </conditionalFormatting>
  <conditionalFormatting sqref="AD219:AJ219 F219:L219">
    <cfRule type="containsText" dxfId="733" priority="2335" operator="containsText" text="[pluk]">
      <formula>NOT(ISERROR(SEARCH("[pluk]",F219)))</formula>
    </cfRule>
  </conditionalFormatting>
  <conditionalFormatting sqref="AD227:AJ227 F227:L227">
    <cfRule type="containsText" dxfId="732" priority="2304" operator="containsText" text="[pluk]">
      <formula>NOT(ISERROR(SEARCH("[pluk]",F227)))</formula>
    </cfRule>
  </conditionalFormatting>
  <conditionalFormatting sqref="AD235:AJ235 F235:L235">
    <cfRule type="containsText" dxfId="731" priority="2272" operator="containsText" text="[pluk]">
      <formula>NOT(ISERROR(SEARCH("[pluk]",F235)))</formula>
    </cfRule>
  </conditionalFormatting>
  <conditionalFormatting sqref="AD243:AJ243 F243:L243">
    <cfRule type="containsText" dxfId="730" priority="2241" operator="containsText" text="[pluk]">
      <formula>NOT(ISERROR(SEARCH("[pluk]",F243)))</formula>
    </cfRule>
  </conditionalFormatting>
  <conditionalFormatting sqref="AD251:AJ251 F251:L251">
    <cfRule type="containsText" dxfId="729" priority="2209" operator="containsText" text="[pluk]">
      <formula>NOT(ISERROR(SEARCH("[pluk]",F251)))</formula>
    </cfRule>
  </conditionalFormatting>
  <conditionalFormatting sqref="AD259:AJ259 F259:L259">
    <cfRule type="containsText" dxfId="728" priority="2177" operator="containsText" text="[pluk]">
      <formula>NOT(ISERROR(SEARCH("[pluk]",F259)))</formula>
    </cfRule>
  </conditionalFormatting>
  <conditionalFormatting sqref="AD267:AJ267 F267:L267">
    <cfRule type="containsText" dxfId="727" priority="2144" operator="containsText" text="[pluk]">
      <formula>NOT(ISERROR(SEARCH("[pluk]",F267)))</formula>
    </cfRule>
  </conditionalFormatting>
  <conditionalFormatting sqref="AD275:AJ275 F275:L275">
    <cfRule type="containsText" dxfId="726" priority="2113" operator="containsText" text="[pluk]">
      <formula>NOT(ISERROR(SEARCH("[pluk]",F275)))</formula>
    </cfRule>
  </conditionalFormatting>
  <conditionalFormatting sqref="AD283:AJ283 F283:L283">
    <cfRule type="containsText" dxfId="725" priority="2083" operator="containsText" text="[pluk]">
      <formula>NOT(ISERROR(SEARCH("[pluk]",F283)))</formula>
    </cfRule>
  </conditionalFormatting>
  <conditionalFormatting sqref="AD291:AJ291 F291:L291">
    <cfRule type="containsText" dxfId="724" priority="2054" operator="containsText" text="[pluk]">
      <formula>NOT(ISERROR(SEARCH("[pluk]",F291)))</formula>
    </cfRule>
  </conditionalFormatting>
  <conditionalFormatting sqref="AD299:AJ299 F299:L299">
    <cfRule type="containsText" dxfId="723" priority="2022" operator="containsText" text="[pluk]">
      <formula>NOT(ISERROR(SEARCH("[pluk]",F299)))</formula>
    </cfRule>
  </conditionalFormatting>
  <conditionalFormatting sqref="AD307:AJ307 F307:L307">
    <cfRule type="containsText" dxfId="722" priority="1991" operator="containsText" text="[pluk]">
      <formula>NOT(ISERROR(SEARCH("[pluk]",F307)))</formula>
    </cfRule>
  </conditionalFormatting>
  <conditionalFormatting sqref="AD315:AJ315 F315:L315">
    <cfRule type="containsText" dxfId="721" priority="1959" operator="containsText" text="[pluk]">
      <formula>NOT(ISERROR(SEARCH("[pluk]",F315)))</formula>
    </cfRule>
  </conditionalFormatting>
  <conditionalFormatting sqref="AD323:AJ323 F323:L323">
    <cfRule type="containsText" dxfId="720" priority="1928" operator="containsText" text="[pluk]">
      <formula>NOT(ISERROR(SEARCH("[pluk]",F323)))</formula>
    </cfRule>
  </conditionalFormatting>
  <conditionalFormatting sqref="AD331:AJ331 F331:L331">
    <cfRule type="containsText" dxfId="719" priority="1896" operator="containsText" text="[pluk]">
      <formula>NOT(ISERROR(SEARCH("[pluk]",F331)))</formula>
    </cfRule>
  </conditionalFormatting>
  <conditionalFormatting sqref="AD339:AJ339 F339:L339">
    <cfRule type="containsText" dxfId="718" priority="1865" operator="containsText" text="[pluk]">
      <formula>NOT(ISERROR(SEARCH("[pluk]",F339)))</formula>
    </cfRule>
  </conditionalFormatting>
  <conditionalFormatting sqref="AD347:AJ347 F347:L347">
    <cfRule type="containsText" dxfId="717" priority="1833" operator="containsText" text="[pluk]">
      <formula>NOT(ISERROR(SEARCH("[pluk]",F347)))</formula>
    </cfRule>
  </conditionalFormatting>
  <conditionalFormatting sqref="AD355:AJ355 F355:L355">
    <cfRule type="containsText" dxfId="716" priority="1802" operator="containsText" text="[pluk]">
      <formula>NOT(ISERROR(SEARCH("[pluk]",F355)))</formula>
    </cfRule>
  </conditionalFormatting>
  <conditionalFormatting sqref="AD363:AJ363 F363:L363">
    <cfRule type="containsText" dxfId="715" priority="1769" operator="containsText" text="[pluk]">
      <formula>NOT(ISERROR(SEARCH("[pluk]",F363)))</formula>
    </cfRule>
  </conditionalFormatting>
  <conditionalFormatting sqref="AD371:AJ371 F371:L371">
    <cfRule type="containsText" dxfId="714" priority="1738" operator="containsText" text="[pluk]">
      <formula>NOT(ISERROR(SEARCH("[pluk]",F371)))</formula>
    </cfRule>
  </conditionalFormatting>
  <conditionalFormatting sqref="AD379:AJ379 F379:L379">
    <cfRule type="containsText" dxfId="713" priority="1706" operator="containsText" text="[pluk]">
      <formula>NOT(ISERROR(SEARCH("[pluk]",F379)))</formula>
    </cfRule>
  </conditionalFormatting>
  <conditionalFormatting sqref="AD387:AJ387 F387:L387">
    <cfRule type="containsText" dxfId="712" priority="1676" operator="containsText" text="[pluk]">
      <formula>NOT(ISERROR(SEARCH("[pluk]",F387)))</formula>
    </cfRule>
  </conditionalFormatting>
  <conditionalFormatting sqref="AD395:AJ395 F395:L395">
    <cfRule type="containsText" dxfId="711" priority="1646" operator="containsText" text="[pluk]">
      <formula>NOT(ISERROR(SEARCH("[pluk]",F395)))</formula>
    </cfRule>
  </conditionalFormatting>
  <conditionalFormatting sqref="AD403:AJ403 F403:L403">
    <cfRule type="containsText" dxfId="710" priority="1616" operator="containsText" text="[pluk]">
      <formula>NOT(ISERROR(SEARCH("[pluk]",F403)))</formula>
    </cfRule>
  </conditionalFormatting>
  <conditionalFormatting sqref="AD411:AJ411 F411:L411">
    <cfRule type="containsText" dxfId="709" priority="1584" operator="containsText" text="[pluk]">
      <formula>NOT(ISERROR(SEARCH("[pluk]",F411)))</formula>
    </cfRule>
  </conditionalFormatting>
  <conditionalFormatting sqref="AE108">
    <cfRule type="containsText" dxfId="708" priority="7463" operator="containsText" text="[adv]">
      <formula>NOT(ISERROR(SEARCH("[adv]",AE108)))</formula>
    </cfRule>
  </conditionalFormatting>
  <conditionalFormatting sqref="AE4:AF5">
    <cfRule type="containsText" dxfId="707" priority="7966" operator="containsText" text="[adv]">
      <formula>NOT(ISERROR(SEARCH("[adv]",AE4)))</formula>
    </cfRule>
    <cfRule type="containsText" dxfId="706" priority="7967" operator="containsText" text="[pluk]">
      <formula>NOT(ISERROR(SEARCH("[pluk]",AE4)))</formula>
    </cfRule>
    <cfRule type="cellIs" dxfId="705" priority="7968" operator="equal">
      <formula>"_"</formula>
    </cfRule>
  </conditionalFormatting>
  <conditionalFormatting sqref="AE76:AF76">
    <cfRule type="containsText" dxfId="704" priority="94" operator="containsText" text="[pluk]">
      <formula>NOT(ISERROR(SEARCH("[pluk]",AE76)))</formula>
    </cfRule>
    <cfRule type="cellIs" dxfId="703" priority="95" operator="equal">
      <formula>"_"</formula>
    </cfRule>
  </conditionalFormatting>
  <conditionalFormatting sqref="AE124:AF124">
    <cfRule type="containsText" dxfId="702" priority="8074" operator="containsText" text="[adv]">
      <formula>NOT(ISERROR(SEARCH("[adv]",AE124)))</formula>
    </cfRule>
    <cfRule type="containsText" dxfId="701" priority="8075" operator="containsText" text="[pluk]">
      <formula>NOT(ISERROR(SEARCH("[pluk]",AE124)))</formula>
    </cfRule>
    <cfRule type="cellIs" dxfId="700" priority="8076" operator="equal">
      <formula>"_"</formula>
    </cfRule>
  </conditionalFormatting>
  <conditionalFormatting sqref="AE126:AF126">
    <cfRule type="cellIs" dxfId="699" priority="7402" operator="equal">
      <formula>"_"</formula>
    </cfRule>
  </conditionalFormatting>
  <conditionalFormatting sqref="AE135:AF135">
    <cfRule type="containsText" dxfId="698" priority="7403" operator="containsText" text="[adv]">
      <formula>NOT(ISERROR(SEARCH("[adv]",AE135)))</formula>
    </cfRule>
    <cfRule type="containsText" dxfId="697" priority="7404" operator="containsText" text="[pluk]">
      <formula>NOT(ISERROR(SEARCH("[pluk]",AE135)))</formula>
    </cfRule>
  </conditionalFormatting>
  <conditionalFormatting sqref="AE140:AF140">
    <cfRule type="containsText" dxfId="696" priority="8053" operator="containsText" text="[adv]">
      <formula>NOT(ISERROR(SEARCH("[adv]",AE140)))</formula>
    </cfRule>
  </conditionalFormatting>
  <conditionalFormatting sqref="AE143:AF143">
    <cfRule type="containsText" dxfId="695" priority="8054" operator="containsText" text="[adv]">
      <formula>NOT(ISERROR(SEARCH("[adv]",AE143)))</formula>
    </cfRule>
  </conditionalFormatting>
  <conditionalFormatting sqref="AE145:AF145">
    <cfRule type="containsText" dxfId="694" priority="8045" operator="containsText" text="[adv]">
      <formula>NOT(ISERROR(SEARCH("[adv]",AE145)))</formula>
    </cfRule>
  </conditionalFormatting>
  <conditionalFormatting sqref="AE150:AF150 AE152:AF152">
    <cfRule type="containsText" dxfId="693" priority="8044" operator="containsText" text="[adv]">
      <formula>NOT(ISERROR(SEARCH("[adv]",AE150)))</formula>
    </cfRule>
  </conditionalFormatting>
  <conditionalFormatting sqref="AE159:AF159">
    <cfRule type="containsText" dxfId="692" priority="8043" operator="containsText" text="[adv]">
      <formula>NOT(ISERROR(SEARCH("[adv]",AE159)))</formula>
    </cfRule>
  </conditionalFormatting>
  <conditionalFormatting sqref="AE164:AF164">
    <cfRule type="containsText" dxfId="691" priority="7341" operator="containsText" text="[adv]">
      <formula>NOT(ISERROR(SEARCH("[adv]",AE164)))</formula>
    </cfRule>
  </conditionalFormatting>
  <conditionalFormatting sqref="AE167:AF167">
    <cfRule type="containsText" dxfId="690" priority="8050" operator="containsText" text="[adv]">
      <formula>NOT(ISERROR(SEARCH("[adv]",AE167)))</formula>
    </cfRule>
  </conditionalFormatting>
  <conditionalFormatting sqref="AE173:AF173">
    <cfRule type="containsText" dxfId="689" priority="8051" operator="containsText" text="[adv]">
      <formula>NOT(ISERROR(SEARCH("[adv]",AE173)))</formula>
    </cfRule>
  </conditionalFormatting>
  <conditionalFormatting sqref="AE175:AF175">
    <cfRule type="containsText" dxfId="688" priority="8049" operator="containsText" text="[adv]">
      <formula>NOT(ISERROR(SEARCH("[adv]",AE175)))</formula>
    </cfRule>
  </conditionalFormatting>
  <conditionalFormatting sqref="AE180:AF180">
    <cfRule type="containsText" dxfId="687" priority="7088" operator="containsText" text="[adv]">
      <formula>NOT(ISERROR(SEARCH("[adv]",AE180)))</formula>
    </cfRule>
  </conditionalFormatting>
  <conditionalFormatting sqref="AE183:AF183">
    <cfRule type="containsText" dxfId="686" priority="7158" operator="containsText" text="[adv]">
      <formula>NOT(ISERROR(SEARCH("[adv]",AE183)))</formula>
    </cfRule>
  </conditionalFormatting>
  <conditionalFormatting sqref="AE188:AF188">
    <cfRule type="containsText" dxfId="685" priority="7339" operator="containsText" text="[adv]">
      <formula>NOT(ISERROR(SEARCH("[adv]",AE188)))</formula>
    </cfRule>
  </conditionalFormatting>
  <conditionalFormatting sqref="AE189:AF189">
    <cfRule type="containsText" dxfId="684" priority="7096" operator="containsText" text="[adv]">
      <formula>NOT(ISERROR(SEARCH("[adv]",AE189)))</formula>
    </cfRule>
  </conditionalFormatting>
  <conditionalFormatting sqref="AE199:AF199">
    <cfRule type="containsText" dxfId="683" priority="6910" operator="containsText" text="[adv]">
      <formula>NOT(ISERROR(SEARCH("[adv]",AE199)))</formula>
    </cfRule>
  </conditionalFormatting>
  <conditionalFormatting sqref="AE204:AF204">
    <cfRule type="cellIs" dxfId="682" priority="7336" operator="equal">
      <formula>"_"</formula>
    </cfRule>
    <cfRule type="containsText" dxfId="681" priority="7337" operator="containsText" text="[adv]">
      <formula>NOT(ISERROR(SEARCH("[adv]",AE204)))</formula>
    </cfRule>
  </conditionalFormatting>
  <conditionalFormatting sqref="AE141:AG141">
    <cfRule type="containsText" dxfId="680" priority="7335" operator="containsText" text="[pluk]">
      <formula>NOT(ISERROR(SEARCH("[pluk]",AE141)))</formula>
    </cfRule>
  </conditionalFormatting>
  <conditionalFormatting sqref="AE84:AJ90 AE92:AJ98 AE100:AJ106 AE108:AJ108">
    <cfRule type="containsText" dxfId="679" priority="7462" operator="containsText" text="[pluk]">
      <formula>NOT(ISERROR(SEARCH("[pluk]",AE84)))</formula>
    </cfRule>
  </conditionalFormatting>
  <conditionalFormatting sqref="AE116:AJ116 AC116">
    <cfRule type="containsText" dxfId="678" priority="7389" operator="containsText" text="[pluk]">
      <formula>NOT(ISERROR(SEARCH("[pluk]",AC116)))</formula>
    </cfRule>
  </conditionalFormatting>
  <conditionalFormatting sqref="AE135:AJ135">
    <cfRule type="cellIs" dxfId="677" priority="7405" operator="equal">
      <formula>"_"</formula>
    </cfRule>
  </conditionalFormatting>
  <conditionalFormatting sqref="AE184:AJ185">
    <cfRule type="cellIs" dxfId="676" priority="7137" operator="equal">
      <formula>"_"</formula>
    </cfRule>
  </conditionalFormatting>
  <conditionalFormatting sqref="AE184:AJ186">
    <cfRule type="containsText" dxfId="675" priority="7136" operator="containsText" text="[pluk]">
      <formula>NOT(ISERROR(SEARCH("[pluk]",AE184)))</formula>
    </cfRule>
  </conditionalFormatting>
  <conditionalFormatting sqref="AE308:AJ308 AC308">
    <cfRule type="cellIs" dxfId="674" priority="6277" operator="equal">
      <formula>"_"</formula>
    </cfRule>
  </conditionalFormatting>
  <conditionalFormatting sqref="AF38">
    <cfRule type="containsText" dxfId="673" priority="7617" operator="containsText" text="[adv]">
      <formula>NOT(ISERROR(SEARCH("[adv]",AF38)))</formula>
    </cfRule>
    <cfRule type="containsText" dxfId="672" priority="7618" operator="containsText" text="[pluk]">
      <formula>NOT(ISERROR(SEARCH("[pluk]",AF38)))</formula>
    </cfRule>
    <cfRule type="cellIs" dxfId="671" priority="7619" operator="equal">
      <formula>"_"</formula>
    </cfRule>
  </conditionalFormatting>
  <conditionalFormatting sqref="AF47:AF48">
    <cfRule type="containsText" dxfId="670" priority="7620" operator="containsText" text="[adv]">
      <formula>NOT(ISERROR(SEARCH("[adv]",AF47)))</formula>
    </cfRule>
    <cfRule type="containsText" dxfId="669" priority="7621" operator="containsText" text="[pluk]">
      <formula>NOT(ISERROR(SEARCH("[pluk]",AF47)))</formula>
    </cfRule>
    <cfRule type="cellIs" dxfId="668" priority="7622" operator="equal">
      <formula>"_"</formula>
    </cfRule>
  </conditionalFormatting>
  <conditionalFormatting sqref="AF53">
    <cfRule type="containsText" dxfId="667" priority="7611" operator="containsText" text="[adv]">
      <formula>NOT(ISERROR(SEARCH("[adv]",AF53)))</formula>
    </cfRule>
    <cfRule type="containsText" dxfId="666" priority="7612" operator="containsText" text="[pluk]">
      <formula>NOT(ISERROR(SEARCH("[pluk]",AF53)))</formula>
    </cfRule>
    <cfRule type="cellIs" dxfId="665" priority="7613" operator="equal">
      <formula>"_"</formula>
    </cfRule>
  </conditionalFormatting>
  <conditionalFormatting sqref="AF110">
    <cfRule type="containsText" dxfId="664" priority="7500" operator="containsText" text="[adv]">
      <formula>NOT(ISERROR(SEARCH("[adv]",AF110)))</formula>
    </cfRule>
    <cfRule type="containsText" dxfId="663" priority="7501" operator="containsText" text="[pluk]">
      <formula>NOT(ISERROR(SEARCH("[pluk]",AF110)))</formula>
    </cfRule>
  </conditionalFormatting>
  <conditionalFormatting sqref="AF118">
    <cfRule type="containsText" dxfId="662" priority="7442" operator="containsText" text="[adv]">
      <formula>NOT(ISERROR(SEARCH("[adv]",AF118)))</formula>
    </cfRule>
    <cfRule type="containsText" dxfId="661" priority="7443" operator="containsText" text="[pluk]">
      <formula>NOT(ISERROR(SEARCH("[pluk]",AF118)))</formula>
    </cfRule>
    <cfRule type="cellIs" dxfId="660" priority="7447" operator="equal">
      <formula>"_"</formula>
    </cfRule>
  </conditionalFormatting>
  <conditionalFormatting sqref="AF136">
    <cfRule type="containsText" dxfId="659" priority="7297" operator="containsText" text="[adv]">
      <formula>NOT(ISERROR(SEARCH("[adv]",AF136)))</formula>
    </cfRule>
    <cfRule type="containsText" dxfId="658" priority="7298" operator="containsText" text="[pluk]">
      <formula>NOT(ISERROR(SEARCH("[pluk]",AF136)))</formula>
    </cfRule>
    <cfRule type="cellIs" dxfId="657" priority="7302" operator="equal">
      <formula>"_"</formula>
    </cfRule>
    <cfRule type="containsText" dxfId="656" priority="7407" operator="containsText" text="[adv]">
      <formula>NOT(ISERROR(SEARCH("[adv]",AF136)))</formula>
    </cfRule>
    <cfRule type="containsText" dxfId="655" priority="7408" operator="containsText" text="[pluk]">
      <formula>NOT(ISERROR(SEARCH("[pluk]",AF136)))</formula>
    </cfRule>
  </conditionalFormatting>
  <conditionalFormatting sqref="AF141">
    <cfRule type="containsText" dxfId="654" priority="7318" operator="containsText" text="[adv]">
      <formula>NOT(ISERROR(SEARCH("[adv]",AF141)))</formula>
    </cfRule>
    <cfRule type="containsText" dxfId="653" priority="7319" operator="containsText" text="[pluk]">
      <formula>NOT(ISERROR(SEARCH("[pluk]",AF141)))</formula>
    </cfRule>
  </conditionalFormatting>
  <conditionalFormatting sqref="AF150">
    <cfRule type="containsText" dxfId="652" priority="7344" operator="containsText" text="[adv]">
      <formula>NOT(ISERROR(SEARCH("[adv]",AF150)))</formula>
    </cfRule>
    <cfRule type="containsText" dxfId="651" priority="7345" operator="containsText" text="[pluk]">
      <formula>NOT(ISERROR(SEARCH("[pluk]",AF150)))</formula>
    </cfRule>
    <cfRule type="cellIs" dxfId="650" priority="7346" operator="equal">
      <formula>"_"</formula>
    </cfRule>
    <cfRule type="containsText" dxfId="649" priority="7347" operator="containsText" text="[pluk]">
      <formula>NOT(ISERROR(SEARCH("[pluk]",AF150)))</formula>
    </cfRule>
  </conditionalFormatting>
  <conditionalFormatting sqref="AF183">
    <cfRule type="containsText" dxfId="648" priority="7151" operator="containsText" text="[adv]">
      <formula>NOT(ISERROR(SEARCH("[adv]",AF183)))</formula>
    </cfRule>
    <cfRule type="containsText" dxfId="647" priority="7152" operator="containsText" text="[pluk]">
      <formula>NOT(ISERROR(SEARCH("[pluk]",AF183)))</formula>
    </cfRule>
    <cfRule type="cellIs" dxfId="646" priority="7153" operator="equal">
      <formula>"_"</formula>
    </cfRule>
    <cfRule type="containsText" dxfId="645" priority="7154" operator="containsText" text="[pluk]">
      <formula>NOT(ISERROR(SEARCH("[pluk]",AF183)))</formula>
    </cfRule>
  </conditionalFormatting>
  <conditionalFormatting sqref="AF189">
    <cfRule type="containsText" dxfId="644" priority="7089" operator="containsText" text="[adv]">
      <formula>NOT(ISERROR(SEARCH("[adv]",AF189)))</formula>
    </cfRule>
    <cfRule type="containsText" dxfId="643" priority="7090" operator="containsText" text="[pluk]">
      <formula>NOT(ISERROR(SEARCH("[pluk]",AF189)))</formula>
    </cfRule>
    <cfRule type="cellIs" dxfId="642" priority="7091" operator="equal">
      <formula>"_"</formula>
    </cfRule>
    <cfRule type="containsText" dxfId="641" priority="7092" operator="containsText" text="[pluk]">
      <formula>NOT(ISERROR(SEARCH("[pluk]",AF189)))</formula>
    </cfRule>
  </conditionalFormatting>
  <conditionalFormatting sqref="AF191">
    <cfRule type="cellIs" dxfId="640" priority="7022" operator="equal">
      <formula>"_"</formula>
    </cfRule>
  </conditionalFormatting>
  <conditionalFormatting sqref="AF197">
    <cfRule type="cellIs" dxfId="639" priority="6982" operator="equal">
      <formula>"_"</formula>
    </cfRule>
    <cfRule type="cellIs" dxfId="638" priority="6983" operator="equal">
      <formula>"Moestuin"</formula>
    </cfRule>
    <cfRule type="cellIs" dxfId="637" priority="6984" operator="equal">
      <formula>"Hub"</formula>
    </cfRule>
    <cfRule type="cellIs" dxfId="636" priority="6985" operator="equal">
      <formula>"Snoeien"</formula>
    </cfRule>
    <cfRule type="cellIs" dxfId="635" priority="6986" operator="equal">
      <formula>"Biodiversiteit"</formula>
    </cfRule>
    <cfRule type="cellIs" dxfId="634" priority="6987" operator="equal">
      <formula>"Kamerplanten"</formula>
    </cfRule>
    <cfRule type="cellIs" dxfId="633" priority="6988" operator="equal">
      <formula>"RERUN"</formula>
    </cfRule>
    <cfRule type="cellIs" dxfId="632" priority="6989" operator="equal">
      <formula>"Kweken"</formula>
    </cfRule>
    <cfRule type="cellIs" dxfId="631" priority="6990" operator="equal">
      <formula>"Partnerbijdrage"</formula>
    </cfRule>
    <cfRule type="cellIs" dxfId="630" priority="6991" operator="equal">
      <formula>"TV-pagina"</formula>
    </cfRule>
    <cfRule type="cellIs" dxfId="629" priority="6992" operator="equal">
      <formula>"Tuinklussen"</formula>
    </cfRule>
    <cfRule type="cellIs" dxfId="628" priority="6993" operator="equal">
      <formula>"Inspiratie"</formula>
    </cfRule>
  </conditionalFormatting>
  <conditionalFormatting sqref="AF205">
    <cfRule type="cellIs" dxfId="627" priority="6846" operator="equal">
      <formula>"_"</formula>
    </cfRule>
    <cfRule type="cellIs" dxfId="626" priority="6847" operator="equal">
      <formula>"Moestuin"</formula>
    </cfRule>
    <cfRule type="cellIs" dxfId="625" priority="6848" operator="equal">
      <formula>"Hub"</formula>
    </cfRule>
    <cfRule type="cellIs" dxfId="624" priority="6849" operator="equal">
      <formula>"Snoeien"</formula>
    </cfRule>
    <cfRule type="cellIs" dxfId="623" priority="6850" operator="equal">
      <formula>"Biodiversiteit"</formula>
    </cfRule>
    <cfRule type="cellIs" dxfId="622" priority="6851" operator="equal">
      <formula>"Kamerplanten"</formula>
    </cfRule>
    <cfRule type="cellIs" dxfId="621" priority="6852" operator="equal">
      <formula>"RERUN"</formula>
    </cfRule>
    <cfRule type="cellIs" dxfId="620" priority="6853" operator="equal">
      <formula>"Kweken"</formula>
    </cfRule>
    <cfRule type="cellIs" dxfId="619" priority="6854" operator="equal">
      <formula>"Partnerbijdrage"</formula>
    </cfRule>
    <cfRule type="cellIs" dxfId="618" priority="6855" operator="equal">
      <formula>"TV-pagina"</formula>
    </cfRule>
    <cfRule type="cellIs" dxfId="617" priority="6856" operator="equal">
      <formula>"Tuinklussen"</formula>
    </cfRule>
    <cfRule type="cellIs" dxfId="616" priority="6857" operator="equal">
      <formula>"Inspiratie"</formula>
    </cfRule>
  </conditionalFormatting>
  <conditionalFormatting sqref="AF284">
    <cfRule type="containsText" dxfId="615" priority="6966" operator="containsText" text="[adv]">
      <formula>NOT(ISERROR(SEARCH("[adv]",AF284)))</formula>
    </cfRule>
    <cfRule type="containsText" dxfId="614" priority="6967" operator="containsText" text="[pluk]">
      <formula>NOT(ISERROR(SEARCH("[pluk]",AF284)))</formula>
    </cfRule>
    <cfRule type="cellIs" dxfId="613" priority="6968" operator="equal">
      <formula>"_"</formula>
    </cfRule>
    <cfRule type="containsText" dxfId="612" priority="6969" operator="containsText" text="[pluk]">
      <formula>NOT(ISERROR(SEARCH("[pluk]",AF284)))</formula>
    </cfRule>
    <cfRule type="containsText" dxfId="611" priority="6970" operator="containsText" text="[adv]">
      <formula>NOT(ISERROR(SEARCH("[adv]",AF284)))</formula>
    </cfRule>
    <cfRule type="cellIs" dxfId="610" priority="6971" operator="equal">
      <formula>"_"</formula>
    </cfRule>
    <cfRule type="timePeriod" dxfId="609" priority="6972" timePeriod="thisMonth">
      <formula>AND(MONTH(AF284)=MONTH(TODAY()),YEAR(AF284)=YEAR(TODAY()))</formula>
    </cfRule>
    <cfRule type="notContainsBlanks" dxfId="608" priority="6973">
      <formula>LEN(TRIM(AF284))&gt;0</formula>
    </cfRule>
    <cfRule type="notContainsBlanks" dxfId="607" priority="6974">
      <formula>LEN(TRIM(AF284))&gt;0</formula>
    </cfRule>
    <cfRule type="cellIs" dxfId="606" priority="6975" operator="equal">
      <formula>"ID+"</formula>
    </cfRule>
    <cfRule type="cellIs" dxfId="605" priority="6976" operator="equal">
      <formula>"HK*"</formula>
    </cfRule>
    <cfRule type="cellIs" dxfId="604" priority="6977" operator="equal">
      <formula>"HK"</formula>
    </cfRule>
    <cfRule type="cellIs" dxfId="603" priority="6978" operator="equal">
      <formula>"HK+"</formula>
    </cfRule>
    <cfRule type="cellIs" dxfId="602" priority="6979" operator="equal">
      <formula>"ID"</formula>
    </cfRule>
    <cfRule type="cellIs" dxfId="601" priority="6980" operator="equal">
      <formula>"ID*"</formula>
    </cfRule>
    <cfRule type="notContainsBlanks" dxfId="600" priority="6981">
      <formula>LEN(TRIM(AF284))&gt;0</formula>
    </cfRule>
  </conditionalFormatting>
  <conditionalFormatting sqref="AF287">
    <cfRule type="cellIs" dxfId="599" priority="6808" operator="equal">
      <formula>"_"</formula>
    </cfRule>
    <cfRule type="cellIs" dxfId="598" priority="6809" operator="equal">
      <formula>"Moestuin"</formula>
    </cfRule>
    <cfRule type="cellIs" dxfId="597" priority="6810" operator="equal">
      <formula>"Hub"</formula>
    </cfRule>
    <cfRule type="cellIs" dxfId="596" priority="6811" operator="equal">
      <formula>"Snoeien"</formula>
    </cfRule>
    <cfRule type="cellIs" dxfId="595" priority="6812" operator="equal">
      <formula>"Biodiversiteit"</formula>
    </cfRule>
    <cfRule type="cellIs" dxfId="594" priority="6813" operator="equal">
      <formula>"Kamerplanten"</formula>
    </cfRule>
    <cfRule type="cellIs" dxfId="593" priority="6814" operator="equal">
      <formula>"RERUN"</formula>
    </cfRule>
    <cfRule type="cellIs" dxfId="592" priority="6815" operator="equal">
      <formula>"Kweken"</formula>
    </cfRule>
    <cfRule type="cellIs" dxfId="591" priority="6816" operator="equal">
      <formula>"Partnerbijdrage"</formula>
    </cfRule>
    <cfRule type="cellIs" dxfId="590" priority="6817" operator="equal">
      <formula>"TV-pagina"</formula>
    </cfRule>
    <cfRule type="cellIs" dxfId="589" priority="6818" operator="equal">
      <formula>"Tuinklussen"</formula>
    </cfRule>
    <cfRule type="cellIs" dxfId="588" priority="6819" operator="equal">
      <formula>"Inspiratie"</formula>
    </cfRule>
  </conditionalFormatting>
  <conditionalFormatting sqref="AF295">
    <cfRule type="containsText" dxfId="587" priority="6317" operator="containsText" text="[adv]">
      <formula>NOT(ISERROR(SEARCH("[adv]",AF295)))</formula>
    </cfRule>
    <cfRule type="containsText" dxfId="586" priority="6318" operator="containsText" text="[pluk]">
      <formula>NOT(ISERROR(SEARCH("[pluk]",AF295)))</formula>
    </cfRule>
    <cfRule type="cellIs" dxfId="585" priority="6319" operator="equal">
      <formula>"_"</formula>
    </cfRule>
    <cfRule type="containsText" dxfId="584" priority="6320" operator="containsText" text="[pluk]">
      <formula>NOT(ISERROR(SEARCH("[pluk]",AF295)))</formula>
    </cfRule>
    <cfRule type="containsText" dxfId="583" priority="6321" operator="containsText" text="[adv]">
      <formula>NOT(ISERROR(SEARCH("[adv]",AF295)))</formula>
    </cfRule>
    <cfRule type="cellIs" dxfId="582" priority="6322" operator="equal">
      <formula>"_"</formula>
    </cfRule>
    <cfRule type="timePeriod" dxfId="581" priority="6323" timePeriod="thisMonth">
      <formula>AND(MONTH(AF295)=MONTH(TODAY()),YEAR(AF295)=YEAR(TODAY()))</formula>
    </cfRule>
    <cfRule type="notContainsBlanks" dxfId="580" priority="6324">
      <formula>LEN(TRIM(AF295))&gt;0</formula>
    </cfRule>
    <cfRule type="notContainsBlanks" dxfId="579" priority="6325">
      <formula>LEN(TRIM(AF295))&gt;0</formula>
    </cfRule>
    <cfRule type="cellIs" dxfId="578" priority="6326" operator="equal">
      <formula>"ID+"</formula>
    </cfRule>
    <cfRule type="cellIs" dxfId="577" priority="6327" operator="equal">
      <formula>"HK*"</formula>
    </cfRule>
    <cfRule type="cellIs" dxfId="576" priority="6328" operator="equal">
      <formula>"HK"</formula>
    </cfRule>
    <cfRule type="cellIs" dxfId="575" priority="6329" operator="equal">
      <formula>"HK+"</formula>
    </cfRule>
    <cfRule type="cellIs" dxfId="574" priority="6330" operator="equal">
      <formula>"ID"</formula>
    </cfRule>
    <cfRule type="cellIs" dxfId="573" priority="6331" operator="equal">
      <formula>"ID*"</formula>
    </cfRule>
    <cfRule type="notContainsBlanks" dxfId="572" priority="6332">
      <formula>LEN(TRIM(AF295))&gt;0</formula>
    </cfRule>
  </conditionalFormatting>
  <conditionalFormatting sqref="AF308:AF309">
    <cfRule type="containsText" dxfId="571" priority="6275" operator="containsText" text="[adv]">
      <formula>NOT(ISERROR(SEARCH("[adv]",AF308)))</formula>
    </cfRule>
    <cfRule type="containsText" dxfId="570" priority="6276" operator="containsText" text="[pluk]">
      <formula>NOT(ISERROR(SEARCH("[pluk]",AF308)))</formula>
    </cfRule>
  </conditionalFormatting>
  <conditionalFormatting sqref="AF309">
    <cfRule type="cellIs" dxfId="569" priority="6285" operator="equal">
      <formula>"_"</formula>
    </cfRule>
    <cfRule type="containsText" dxfId="568" priority="6286" operator="containsText" text="[pluk]">
      <formula>NOT(ISERROR(SEARCH("[pluk]",AF309)))</formula>
    </cfRule>
    <cfRule type="containsText" dxfId="567" priority="6287" operator="containsText" text="[adv]">
      <formula>NOT(ISERROR(SEARCH("[adv]",AF309)))</formula>
    </cfRule>
    <cfRule type="cellIs" dxfId="566" priority="6288" operator="equal">
      <formula>"_"</formula>
    </cfRule>
    <cfRule type="timePeriod" dxfId="565" priority="6289" timePeriod="thisMonth">
      <formula>AND(MONTH(AF309)=MONTH(TODAY()),YEAR(AF309)=YEAR(TODAY()))</formula>
    </cfRule>
    <cfRule type="notContainsBlanks" dxfId="564" priority="6290">
      <formula>LEN(TRIM(AF309))&gt;0</formula>
    </cfRule>
    <cfRule type="notContainsBlanks" dxfId="563" priority="6291">
      <formula>LEN(TRIM(AF309))&gt;0</formula>
    </cfRule>
    <cfRule type="cellIs" dxfId="562" priority="6292" operator="equal">
      <formula>"ID+"</formula>
    </cfRule>
    <cfRule type="cellIs" dxfId="561" priority="6293" operator="equal">
      <formula>"HK*"</formula>
    </cfRule>
    <cfRule type="cellIs" dxfId="560" priority="6294" operator="equal">
      <formula>"HK"</formula>
    </cfRule>
    <cfRule type="cellIs" dxfId="559" priority="6295" operator="equal">
      <formula>"HK+"</formula>
    </cfRule>
    <cfRule type="cellIs" dxfId="558" priority="6296" operator="equal">
      <formula>"ID"</formula>
    </cfRule>
    <cfRule type="cellIs" dxfId="557" priority="6297" operator="equal">
      <formula>"ID*"</formula>
    </cfRule>
    <cfRule type="notContainsBlanks" dxfId="556" priority="6298">
      <formula>LEN(TRIM(AF309))&gt;0</formula>
    </cfRule>
  </conditionalFormatting>
  <conditionalFormatting sqref="AG5:AG10 X70 U71:U75 J425:L444 AG13:AG99 U83:U110 AG107">
    <cfRule type="timePeriod" dxfId="555" priority="9413" timePeriod="thisMonth">
      <formula>AND(MONTH(J5)=MONTH(TODAY()),YEAR(J5)=YEAR(TODAY()))</formula>
    </cfRule>
  </conditionalFormatting>
  <conditionalFormatting sqref="AG45">
    <cfRule type="containsText" dxfId="554" priority="7607" operator="containsText" text="[pluk]">
      <formula>NOT(ISERROR(SEARCH("[pluk]",AG45)))</formula>
    </cfRule>
    <cfRule type="timePeriod" dxfId="553" priority="7608" timePeriod="thisMonth">
      <formula>AND(MONTH(AG45)=MONTH(TODAY()),YEAR(AG45)=YEAR(TODAY()))</formula>
    </cfRule>
    <cfRule type="cellIs" dxfId="552" priority="7609" operator="equal">
      <formula>"_"</formula>
    </cfRule>
  </conditionalFormatting>
  <conditionalFormatting sqref="AG53:AG54">
    <cfRule type="containsText" dxfId="551" priority="7604" operator="containsText" text="[pluk]">
      <formula>NOT(ISERROR(SEARCH("[pluk]",AG53)))</formula>
    </cfRule>
    <cfRule type="timePeriod" dxfId="550" priority="7605" timePeriod="thisMonth">
      <formula>AND(MONTH(AG53)=MONTH(TODAY()),YEAR(AG53)=YEAR(TODAY()))</formula>
    </cfRule>
    <cfRule type="cellIs" dxfId="549" priority="7606" operator="equal">
      <formula>"_"</formula>
    </cfRule>
  </conditionalFormatting>
  <conditionalFormatting sqref="AG63">
    <cfRule type="containsText" dxfId="548" priority="7595" operator="containsText" text="[pluk]">
      <formula>NOT(ISERROR(SEARCH("[pluk]",AG63)))</formula>
    </cfRule>
    <cfRule type="timePeriod" dxfId="547" priority="7596" timePeriod="thisMonth">
      <formula>AND(MONTH(AG63)=MONTH(TODAY()),YEAR(AG63)=YEAR(TODAY()))</formula>
    </cfRule>
    <cfRule type="cellIs" dxfId="546" priority="7597" operator="equal">
      <formula>"_"</formula>
    </cfRule>
  </conditionalFormatting>
  <conditionalFormatting sqref="AG100:AG106 AB126:AC127 AB103:AC103 I108 AB120:AC120 AE120:AF120 AE103:AF103 AE126:AF127 AG108:AG114 AG116:AG122 AG124:AG130 AG132:AG138 AG140:AG146">
    <cfRule type="timePeriod" dxfId="545" priority="8091" timePeriod="thisMonth">
      <formula>AND(MONTH(I100)=MONTH(TODAY()),YEAR(I100)=YEAR(TODAY()))</formula>
    </cfRule>
  </conditionalFormatting>
  <conditionalFormatting sqref="AG134">
    <cfRule type="containsText" dxfId="544" priority="8057" operator="containsText" text="[adv]">
      <formula>NOT(ISERROR(SEARCH("[adv]",AG134)))</formula>
    </cfRule>
    <cfRule type="timePeriod" dxfId="543" priority="8058" timePeriod="thisMonth">
      <formula>AND(MONTH(AG134)=MONTH(TODAY()),YEAR(AG134)=YEAR(TODAY()))</formula>
    </cfRule>
  </conditionalFormatting>
  <conditionalFormatting sqref="AG176">
    <cfRule type="cellIs" dxfId="542" priority="7028" operator="equal">
      <formula>"_"</formula>
    </cfRule>
    <cfRule type="timePeriod" dxfId="541" priority="7029" timePeriod="thisMonth">
      <formula>AND(MONTH(AG176)=MONTH(TODAY()),YEAR(AG176)=YEAR(TODAY()))</formula>
    </cfRule>
  </conditionalFormatting>
  <conditionalFormatting sqref="AG183">
    <cfRule type="cellIs" dxfId="540" priority="7023" operator="equal">
      <formula>"_"</formula>
    </cfRule>
    <cfRule type="timePeriod" dxfId="539" priority="7024" timePeriod="thisMonth">
      <formula>AND(MONTH(AG183)=MONTH(TODAY()),YEAR(AG183)=YEAR(TODAY()))</formula>
    </cfRule>
  </conditionalFormatting>
  <conditionalFormatting sqref="AG204">
    <cfRule type="timePeriod" dxfId="538" priority="6749" timePeriod="thisMonth">
      <formula>AND(MONTH(AG204)=MONTH(TODAY()),YEAR(AG204)=YEAR(TODAY()))</formula>
    </cfRule>
  </conditionalFormatting>
  <conditionalFormatting sqref="AG206">
    <cfRule type="timePeriod" dxfId="537" priority="6748" timePeriod="thisMonth">
      <formula>AND(MONTH(AG206)=MONTH(TODAY()),YEAR(AG206)=YEAR(TODAY()))</formula>
    </cfRule>
  </conditionalFormatting>
  <conditionalFormatting sqref="AG276">
    <cfRule type="containsText" dxfId="536" priority="6352" operator="containsText" text="[pluk]">
      <formula>NOT(ISERROR(SEARCH("[pluk]",AG276)))</formula>
    </cfRule>
    <cfRule type="cellIs" dxfId="535" priority="6353" operator="equal">
      <formula>"_"</formula>
    </cfRule>
  </conditionalFormatting>
  <conditionalFormatting sqref="AG298">
    <cfRule type="containsText" dxfId="534" priority="6281" operator="containsText" text="[pluk]">
      <formula>NOT(ISERROR(SEARCH("[pluk]",AG298)))</formula>
    </cfRule>
    <cfRule type="cellIs" dxfId="533" priority="6282" operator="equal">
      <formula>"_"</formula>
    </cfRule>
  </conditionalFormatting>
  <conditionalFormatting sqref="AH1:AH2 V1:V2 J1:J2">
    <cfRule type="notContainsBlanks" dxfId="532" priority="6002">
      <formula>LEN(TRIM(J1))&gt;0</formula>
    </cfRule>
  </conditionalFormatting>
  <conditionalFormatting sqref="AH1:AH2">
    <cfRule type="notContainsBlanks" dxfId="531" priority="6008">
      <formula>LEN(TRIM(AH1))&gt;0</formula>
    </cfRule>
  </conditionalFormatting>
  <conditionalFormatting sqref="AH4:AH10">
    <cfRule type="notContainsBlanks" dxfId="530" priority="8020">
      <formula>LEN(TRIM(AH4))&gt;0</formula>
    </cfRule>
  </conditionalFormatting>
  <conditionalFormatting sqref="AH12:AH18">
    <cfRule type="notContainsBlanks" dxfId="529" priority="9143">
      <formula>LEN(TRIM(AH12))&gt;0</formula>
    </cfRule>
  </conditionalFormatting>
  <conditionalFormatting sqref="AH20:AH26">
    <cfRule type="notContainsBlanks" dxfId="528" priority="9153">
      <formula>LEN(TRIM(AH20))&gt;0</formula>
    </cfRule>
  </conditionalFormatting>
  <conditionalFormatting sqref="AH28:AH34">
    <cfRule type="notContainsBlanks" dxfId="527" priority="9163">
      <formula>LEN(TRIM(AH28))&gt;0</formula>
    </cfRule>
  </conditionalFormatting>
  <conditionalFormatting sqref="AH36:AH42">
    <cfRule type="notContainsBlanks" dxfId="526" priority="9173">
      <formula>LEN(TRIM(AH36))&gt;0</formula>
    </cfRule>
  </conditionalFormatting>
  <conditionalFormatting sqref="AH76:AH82">
    <cfRule type="notContainsBlanks" dxfId="525" priority="4605">
      <formula>LEN(TRIM(AH76))&gt;0</formula>
    </cfRule>
    <cfRule type="cellIs" dxfId="524" priority="4606" operator="equal">
      <formula>"_"</formula>
    </cfRule>
    <cfRule type="timePeriod" dxfId="523" priority="4607" timePeriod="thisMonth">
      <formula>AND(MONTH(AH76)=MONTH(TODAY()),YEAR(AH76)=YEAR(TODAY()))</formula>
    </cfRule>
    <cfRule type="notContainsBlanks" dxfId="522" priority="4608">
      <formula>LEN(TRIM(AH76))&gt;0</formula>
    </cfRule>
    <cfRule type="cellIs" dxfId="521" priority="4609" operator="equal">
      <formula>"ID+"</formula>
    </cfRule>
    <cfRule type="cellIs" dxfId="520" priority="4610" operator="equal">
      <formula>"HK*"</formula>
    </cfRule>
    <cfRule type="cellIs" dxfId="519" priority="4611" operator="equal">
      <formula>"HK"</formula>
    </cfRule>
    <cfRule type="cellIs" dxfId="518" priority="4612" operator="equal">
      <formula>"HK+"</formula>
    </cfRule>
    <cfRule type="cellIs" dxfId="517" priority="4613" operator="equal">
      <formula>"ID"</formula>
    </cfRule>
    <cfRule type="cellIs" dxfId="516" priority="4614" operator="equal">
      <formula>"ID*"</formula>
    </cfRule>
    <cfRule type="notContainsBlanks" dxfId="515" priority="4615">
      <formula>LEN(TRIM(AH76))&gt;0</formula>
    </cfRule>
    <cfRule type="containsText" dxfId="514" priority="4616" operator="containsText" text="[adv]">
      <formula>NOT(ISERROR(SEARCH("[adv]",AH76)))</formula>
    </cfRule>
  </conditionalFormatting>
  <conditionalFormatting sqref="AH420:AH456">
    <cfRule type="notContainsBlanks" dxfId="513" priority="9265">
      <formula>LEN(TRIM(AH420))&gt;0</formula>
    </cfRule>
  </conditionalFormatting>
  <conditionalFormatting sqref="AH4:AJ10 AL4:AL10">
    <cfRule type="cellIs" dxfId="512" priority="8021" operator="equal">
      <formula>"ID+"</formula>
    </cfRule>
    <cfRule type="cellIs" dxfId="511" priority="8022" operator="equal">
      <formula>"HK*"</formula>
    </cfRule>
    <cfRule type="cellIs" dxfId="510" priority="8023" operator="equal">
      <formula>"HK"</formula>
    </cfRule>
    <cfRule type="cellIs" dxfId="509" priority="8024" operator="equal">
      <formula>"HK+"</formula>
    </cfRule>
    <cfRule type="cellIs" dxfId="508" priority="8025" operator="equal">
      <formula>"ID"</formula>
    </cfRule>
    <cfRule type="cellIs" dxfId="507" priority="8026" operator="equal">
      <formula>"ID*"</formula>
    </cfRule>
  </conditionalFormatting>
  <conditionalFormatting sqref="AH12:AJ18 AL12:AL18">
    <cfRule type="cellIs" dxfId="506" priority="9144" operator="equal">
      <formula>"ID+"</formula>
    </cfRule>
    <cfRule type="cellIs" dxfId="505" priority="9145" operator="equal">
      <formula>"HK*"</formula>
    </cfRule>
    <cfRule type="cellIs" dxfId="504" priority="9146" operator="equal">
      <formula>"HK"</formula>
    </cfRule>
    <cfRule type="cellIs" dxfId="503" priority="9147" operator="equal">
      <formula>"HK+"</formula>
    </cfRule>
    <cfRule type="cellIs" dxfId="502" priority="9148" operator="equal">
      <formula>"ID"</formula>
    </cfRule>
    <cfRule type="cellIs" dxfId="501" priority="9149" operator="equal">
      <formula>"ID*"</formula>
    </cfRule>
  </conditionalFormatting>
  <conditionalFormatting sqref="AH20:AJ26 AL20:AL26">
    <cfRule type="cellIs" dxfId="500" priority="9154" operator="equal">
      <formula>"ID+"</formula>
    </cfRule>
    <cfRule type="cellIs" dxfId="499" priority="9155" operator="equal">
      <formula>"HK*"</formula>
    </cfRule>
    <cfRule type="cellIs" dxfId="498" priority="9156" operator="equal">
      <formula>"HK"</formula>
    </cfRule>
    <cfRule type="cellIs" dxfId="497" priority="9157" operator="equal">
      <formula>"HK+"</formula>
    </cfRule>
    <cfRule type="cellIs" dxfId="496" priority="9158" operator="equal">
      <formula>"ID"</formula>
    </cfRule>
    <cfRule type="cellIs" dxfId="495" priority="9159" operator="equal">
      <formula>"ID*"</formula>
    </cfRule>
  </conditionalFormatting>
  <conditionalFormatting sqref="AH28:AJ34 AL28:AL34">
    <cfRule type="cellIs" dxfId="494" priority="9164" operator="equal">
      <formula>"ID+"</formula>
    </cfRule>
    <cfRule type="cellIs" dxfId="493" priority="9165" operator="equal">
      <formula>"HK*"</formula>
    </cfRule>
    <cfRule type="cellIs" dxfId="492" priority="9166" operator="equal">
      <formula>"HK"</formula>
    </cfRule>
    <cfRule type="cellIs" dxfId="491" priority="9167" operator="equal">
      <formula>"HK+"</formula>
    </cfRule>
    <cfRule type="cellIs" dxfId="490" priority="9168" operator="equal">
      <formula>"ID"</formula>
    </cfRule>
    <cfRule type="cellIs" dxfId="489" priority="9169" operator="equal">
      <formula>"ID*"</formula>
    </cfRule>
  </conditionalFormatting>
  <conditionalFormatting sqref="AH36:AJ42 AL36:AL42">
    <cfRule type="cellIs" dxfId="488" priority="9174" operator="equal">
      <formula>"ID+"</formula>
    </cfRule>
    <cfRule type="cellIs" dxfId="487" priority="9175" operator="equal">
      <formula>"HK*"</formula>
    </cfRule>
    <cfRule type="cellIs" dxfId="486" priority="9176" operator="equal">
      <formula>"HK"</formula>
    </cfRule>
    <cfRule type="cellIs" dxfId="485" priority="9177" operator="equal">
      <formula>"HK+"</formula>
    </cfRule>
    <cfRule type="cellIs" dxfId="484" priority="9178" operator="equal">
      <formula>"ID"</formula>
    </cfRule>
    <cfRule type="cellIs" dxfId="483" priority="9179" operator="equal">
      <formula>"ID*"</formula>
    </cfRule>
  </conditionalFormatting>
  <conditionalFormatting sqref="AH44:AJ50 AL44:AL50">
    <cfRule type="cellIs" dxfId="482" priority="9281" operator="equal">
      <formula>"ID+"</formula>
    </cfRule>
    <cfRule type="cellIs" dxfId="481" priority="9282" operator="equal">
      <formula>"HK*"</formula>
    </cfRule>
    <cfRule type="cellIs" dxfId="480" priority="9283" operator="equal">
      <formula>"HK"</formula>
    </cfRule>
    <cfRule type="cellIs" dxfId="479" priority="9284" operator="equal">
      <formula>"HK+"</formula>
    </cfRule>
    <cfRule type="cellIs" dxfId="478" priority="9285" operator="equal">
      <formula>"ID"</formula>
    </cfRule>
    <cfRule type="cellIs" dxfId="477" priority="9286" operator="equal">
      <formula>"ID*"</formula>
    </cfRule>
  </conditionalFormatting>
  <conditionalFormatting sqref="AH52:AJ58 AL52:AL58">
    <cfRule type="cellIs" dxfId="476" priority="9275" operator="equal">
      <formula>"ID+"</formula>
    </cfRule>
    <cfRule type="cellIs" dxfId="475" priority="9276" operator="equal">
      <formula>"HK*"</formula>
    </cfRule>
    <cfRule type="cellIs" dxfId="474" priority="9277" operator="equal">
      <formula>"HK"</formula>
    </cfRule>
    <cfRule type="cellIs" dxfId="473" priority="9278" operator="equal">
      <formula>"HK+"</formula>
    </cfRule>
    <cfRule type="cellIs" dxfId="472" priority="9279" operator="equal">
      <formula>"ID"</formula>
    </cfRule>
    <cfRule type="cellIs" dxfId="471" priority="9280" operator="equal">
      <formula>"ID*"</formula>
    </cfRule>
  </conditionalFormatting>
  <conditionalFormatting sqref="AH60:AJ66 AL60:AL66">
    <cfRule type="cellIs" dxfId="470" priority="9269" operator="equal">
      <formula>"ID+"</formula>
    </cfRule>
    <cfRule type="cellIs" dxfId="469" priority="9270" operator="equal">
      <formula>"HK*"</formula>
    </cfRule>
    <cfRule type="cellIs" dxfId="468" priority="9271" operator="equal">
      <formula>"HK"</formula>
    </cfRule>
    <cfRule type="cellIs" dxfId="467" priority="9272" operator="equal">
      <formula>"HK+"</formula>
    </cfRule>
    <cfRule type="cellIs" dxfId="466" priority="9273" operator="equal">
      <formula>"ID"</formula>
    </cfRule>
    <cfRule type="cellIs" dxfId="465" priority="9274" operator="equal">
      <formula>"ID*"</formula>
    </cfRule>
  </conditionalFormatting>
  <conditionalFormatting sqref="AH68:AJ74 AL68:AL74">
    <cfRule type="notContainsBlanks" dxfId="464" priority="9069">
      <formula>LEN(TRIM(AH68))&gt;0</formula>
    </cfRule>
    <cfRule type="cellIs" dxfId="463" priority="9070" operator="equal">
      <formula>"ID+"</formula>
    </cfRule>
    <cfRule type="cellIs" dxfId="462" priority="9071" operator="equal">
      <formula>"HK*"</formula>
    </cfRule>
    <cfRule type="cellIs" dxfId="461" priority="9072" operator="equal">
      <formula>"HK"</formula>
    </cfRule>
    <cfRule type="cellIs" dxfId="460" priority="9073" operator="equal">
      <formula>"HK+"</formula>
    </cfRule>
    <cfRule type="cellIs" dxfId="459" priority="9074" operator="equal">
      <formula>"ID"</formula>
    </cfRule>
    <cfRule type="cellIs" dxfId="458" priority="9075" operator="equal">
      <formula>"ID*"</formula>
    </cfRule>
    <cfRule type="notContainsBlanks" dxfId="457" priority="9076">
      <formula>LEN(TRIM(AH68))&gt;0</formula>
    </cfRule>
    <cfRule type="cellIs" dxfId="456" priority="9077" operator="equal">
      <formula>"ID+"</formula>
    </cfRule>
    <cfRule type="cellIs" dxfId="455" priority="9078" operator="equal">
      <formula>"HK*"</formula>
    </cfRule>
    <cfRule type="cellIs" dxfId="454" priority="9079" operator="equal">
      <formula>"HK"</formula>
    </cfRule>
    <cfRule type="cellIs" dxfId="453" priority="9080" operator="equal">
      <formula>"HK+"</formula>
    </cfRule>
    <cfRule type="cellIs" dxfId="452" priority="9081" operator="equal">
      <formula>"ID"</formula>
    </cfRule>
    <cfRule type="cellIs" dxfId="451" priority="9082" operator="equal">
      <formula>"ID*"</formula>
    </cfRule>
    <cfRule type="cellIs" dxfId="450" priority="9266" operator="equal">
      <formula>"HK*"</formula>
    </cfRule>
    <cfRule type="cellIs" dxfId="449" priority="9267" operator="equal">
      <formula>"HK"</formula>
    </cfRule>
    <cfRule type="cellIs" dxfId="448" priority="9268" operator="equal">
      <formula>"ID"</formula>
    </cfRule>
  </conditionalFormatting>
  <conditionalFormatting sqref="AH76:AJ82">
    <cfRule type="containsText" dxfId="447" priority="4604" operator="containsText" text="[pluk]">
      <formula>NOT(ISERROR(SEARCH("[pluk]",AH76)))</formula>
    </cfRule>
  </conditionalFormatting>
  <conditionalFormatting sqref="AH84:AJ90 AL84:AL90">
    <cfRule type="notContainsBlanks" dxfId="446" priority="9031">
      <formula>LEN(TRIM(AH84))&gt;0</formula>
    </cfRule>
    <cfRule type="cellIs" dxfId="445" priority="9032" operator="equal">
      <formula>"ID+"</formula>
    </cfRule>
    <cfRule type="cellIs" dxfId="444" priority="9033" operator="equal">
      <formula>"HK*"</formula>
    </cfRule>
    <cfRule type="cellIs" dxfId="443" priority="9034" operator="equal">
      <formula>"HK"</formula>
    </cfRule>
    <cfRule type="cellIs" dxfId="442" priority="9035" operator="equal">
      <formula>"HK+"</formula>
    </cfRule>
    <cfRule type="cellIs" dxfId="441" priority="9036" operator="equal">
      <formula>"ID"</formula>
    </cfRule>
    <cfRule type="cellIs" dxfId="440" priority="9037" operator="equal">
      <formula>"ID*"</formula>
    </cfRule>
    <cfRule type="notContainsBlanks" dxfId="439" priority="9041">
      <formula>LEN(TRIM(AH84))&gt;0</formula>
    </cfRule>
  </conditionalFormatting>
  <conditionalFormatting sqref="AH92:AJ98 AL92:AL98">
    <cfRule type="notContainsBlanks" dxfId="438" priority="9020">
      <formula>LEN(TRIM(AH92))&gt;0</formula>
    </cfRule>
    <cfRule type="cellIs" dxfId="437" priority="9021" operator="equal">
      <formula>"ID+"</formula>
    </cfRule>
    <cfRule type="cellIs" dxfId="436" priority="9022" operator="equal">
      <formula>"HK*"</formula>
    </cfRule>
    <cfRule type="cellIs" dxfId="435" priority="9023" operator="equal">
      <formula>"HK"</formula>
    </cfRule>
    <cfRule type="cellIs" dxfId="434" priority="9024" operator="equal">
      <formula>"HK+"</formula>
    </cfRule>
    <cfRule type="cellIs" dxfId="433" priority="9025" operator="equal">
      <formula>"ID"</formula>
    </cfRule>
    <cfRule type="cellIs" dxfId="432" priority="9026" operator="equal">
      <formula>"ID*"</formula>
    </cfRule>
    <cfRule type="notContainsBlanks" dxfId="431" priority="9030">
      <formula>LEN(TRIM(AH92))&gt;0</formula>
    </cfRule>
  </conditionalFormatting>
  <conditionalFormatting sqref="AH100:AJ106 AH108:AJ114 AH116:AJ122 AL100:AL106 AL108:AL114 AL116:AL122">
    <cfRule type="notContainsBlanks" dxfId="430" priority="8980">
      <formula>LEN(TRIM(AH100))&gt;0</formula>
    </cfRule>
  </conditionalFormatting>
  <conditionalFormatting sqref="AH100:AJ106 AL100:AL106">
    <cfRule type="notContainsBlanks" dxfId="429" priority="8970">
      <formula>LEN(TRIM(AH100))&gt;0</formula>
    </cfRule>
    <cfRule type="cellIs" dxfId="428" priority="8971" operator="equal">
      <formula>"ID+"</formula>
    </cfRule>
    <cfRule type="cellIs" dxfId="427" priority="8972" operator="equal">
      <formula>"HK*"</formula>
    </cfRule>
    <cfRule type="cellIs" dxfId="426" priority="8973" operator="equal">
      <formula>"HK"</formula>
    </cfRule>
    <cfRule type="cellIs" dxfId="425" priority="8974" operator="equal">
      <formula>"HK+"</formula>
    </cfRule>
    <cfRule type="cellIs" dxfId="424" priority="8975" operator="equal">
      <formula>"ID"</formula>
    </cfRule>
    <cfRule type="cellIs" dxfId="423" priority="8976" operator="equal">
      <formula>"ID*"</formula>
    </cfRule>
  </conditionalFormatting>
  <conditionalFormatting sqref="AH108:AJ114 AL108:AL114">
    <cfRule type="notContainsBlanks" dxfId="422" priority="8963">
      <formula>LEN(TRIM(AH108))&gt;0</formula>
    </cfRule>
    <cfRule type="cellIs" dxfId="421" priority="8964" operator="equal">
      <formula>"ID+"</formula>
    </cfRule>
    <cfRule type="cellIs" dxfId="420" priority="8965" operator="equal">
      <formula>"HK*"</formula>
    </cfRule>
    <cfRule type="cellIs" dxfId="419" priority="8966" operator="equal">
      <formula>"HK"</formula>
    </cfRule>
    <cfRule type="cellIs" dxfId="418" priority="8967" operator="equal">
      <formula>"HK+"</formula>
    </cfRule>
    <cfRule type="cellIs" dxfId="417" priority="8968" operator="equal">
      <formula>"ID"</formula>
    </cfRule>
    <cfRule type="cellIs" dxfId="416" priority="8969" operator="equal">
      <formula>"ID*"</formula>
    </cfRule>
  </conditionalFormatting>
  <conditionalFormatting sqref="AH116:AJ122 AL116:AL122">
    <cfRule type="notContainsBlanks" dxfId="415" priority="8956">
      <formula>LEN(TRIM(AH116))&gt;0</formula>
    </cfRule>
    <cfRule type="cellIs" dxfId="414" priority="8957" operator="equal">
      <formula>"ID+"</formula>
    </cfRule>
    <cfRule type="cellIs" dxfId="413" priority="8958" operator="equal">
      <formula>"HK*"</formula>
    </cfRule>
    <cfRule type="cellIs" dxfId="412" priority="8959" operator="equal">
      <formula>"HK"</formula>
    </cfRule>
    <cfRule type="cellIs" dxfId="411" priority="8960" operator="equal">
      <formula>"HK+"</formula>
    </cfRule>
    <cfRule type="cellIs" dxfId="410" priority="8961" operator="equal">
      <formula>"ID"</formula>
    </cfRule>
    <cfRule type="cellIs" dxfId="409" priority="8962" operator="equal">
      <formula>"ID*"</formula>
    </cfRule>
  </conditionalFormatting>
  <conditionalFormatting sqref="AH124:AJ130 AH132:AJ138 AH140:AJ146 AL124:AL130 AL132:AL138 AL140:AL146">
    <cfRule type="notContainsBlanks" dxfId="408" priority="8909">
      <formula>LEN(TRIM(AH124))&gt;0</formula>
    </cfRule>
  </conditionalFormatting>
  <conditionalFormatting sqref="AH124:AJ130 AL124:AL130">
    <cfRule type="notContainsBlanks" dxfId="407" priority="8899">
      <formula>LEN(TRIM(AH124))&gt;0</formula>
    </cfRule>
    <cfRule type="cellIs" dxfId="406" priority="8900" operator="equal">
      <formula>"ID+"</formula>
    </cfRule>
    <cfRule type="cellIs" dxfId="405" priority="8901" operator="equal">
      <formula>"HK*"</formula>
    </cfRule>
    <cfRule type="cellIs" dxfId="404" priority="8902" operator="equal">
      <formula>"HK"</formula>
    </cfRule>
    <cfRule type="cellIs" dxfId="403" priority="8903" operator="equal">
      <formula>"HK+"</formula>
    </cfRule>
    <cfRule type="cellIs" dxfId="402" priority="8904" operator="equal">
      <formula>"ID"</formula>
    </cfRule>
    <cfRule type="cellIs" dxfId="401" priority="8905" operator="equal">
      <formula>"ID*"</formula>
    </cfRule>
  </conditionalFormatting>
  <conditionalFormatting sqref="AH132:AJ138 AL132:AL138">
    <cfRule type="notContainsBlanks" dxfId="400" priority="8892">
      <formula>LEN(TRIM(AH132))&gt;0</formula>
    </cfRule>
    <cfRule type="cellIs" dxfId="399" priority="8893" operator="equal">
      <formula>"ID+"</formula>
    </cfRule>
    <cfRule type="cellIs" dxfId="398" priority="8894" operator="equal">
      <formula>"HK*"</formula>
    </cfRule>
    <cfRule type="cellIs" dxfId="397" priority="8895" operator="equal">
      <formula>"HK"</formula>
    </cfRule>
    <cfRule type="cellIs" dxfId="396" priority="8896" operator="equal">
      <formula>"HK+"</formula>
    </cfRule>
    <cfRule type="cellIs" dxfId="395" priority="8897" operator="equal">
      <formula>"ID"</formula>
    </cfRule>
    <cfRule type="cellIs" dxfId="394" priority="8898" operator="equal">
      <formula>"ID*"</formula>
    </cfRule>
  </conditionalFormatting>
  <conditionalFormatting sqref="AH140:AJ146 AH148:AJ154 AL148:AL154">
    <cfRule type="notContainsBlanks" dxfId="393" priority="8829">
      <formula>LEN(TRIM(AH140))&gt;0</formula>
    </cfRule>
    <cfRule type="cellIs" dxfId="392" priority="8830" operator="equal">
      <formula>"ID+"</formula>
    </cfRule>
    <cfRule type="cellIs" dxfId="391" priority="8831" operator="equal">
      <formula>"HK*"</formula>
    </cfRule>
    <cfRule type="cellIs" dxfId="390" priority="8832" operator="equal">
      <formula>"HK"</formula>
    </cfRule>
    <cfRule type="cellIs" dxfId="389" priority="8833" operator="equal">
      <formula>"HK+"</formula>
    </cfRule>
    <cfRule type="cellIs" dxfId="388" priority="8834" operator="equal">
      <formula>"ID"</formula>
    </cfRule>
    <cfRule type="cellIs" dxfId="387" priority="8835" operator="equal">
      <formula>"ID*"</formula>
    </cfRule>
  </conditionalFormatting>
  <conditionalFormatting sqref="AH148:AJ154 AH156:AJ162 AH164:AJ170 AL148:AL154 AL156:AL162 AL164:AL170">
    <cfRule type="notContainsBlanks" dxfId="386" priority="8839">
      <formula>LEN(TRIM(AH148))&gt;0</formula>
    </cfRule>
  </conditionalFormatting>
  <conditionalFormatting sqref="AH156:AJ162 AL156:AL162">
    <cfRule type="notContainsBlanks" dxfId="385" priority="8822">
      <formula>LEN(TRIM(AH156))&gt;0</formula>
    </cfRule>
    <cfRule type="cellIs" dxfId="384" priority="8823" operator="equal">
      <formula>"ID+"</formula>
    </cfRule>
    <cfRule type="cellIs" dxfId="383" priority="8824" operator="equal">
      <formula>"HK*"</formula>
    </cfRule>
    <cfRule type="cellIs" dxfId="382" priority="8825" operator="equal">
      <formula>"HK"</formula>
    </cfRule>
    <cfRule type="cellIs" dxfId="381" priority="8826" operator="equal">
      <formula>"HK+"</formula>
    </cfRule>
    <cfRule type="cellIs" dxfId="380" priority="8827" operator="equal">
      <formula>"ID"</formula>
    </cfRule>
    <cfRule type="cellIs" dxfId="379" priority="8828" operator="equal">
      <formula>"ID*"</formula>
    </cfRule>
  </conditionalFormatting>
  <conditionalFormatting sqref="AH164:AJ170 AL164:AL170">
    <cfRule type="notContainsBlanks" dxfId="378" priority="8815">
      <formula>LEN(TRIM(AH164))&gt;0</formula>
    </cfRule>
    <cfRule type="cellIs" dxfId="377" priority="8816" operator="equal">
      <formula>"ID+"</formula>
    </cfRule>
    <cfRule type="cellIs" dxfId="376" priority="8817" operator="equal">
      <formula>"HK*"</formula>
    </cfRule>
    <cfRule type="cellIs" dxfId="375" priority="8818" operator="equal">
      <formula>"HK"</formula>
    </cfRule>
    <cfRule type="cellIs" dxfId="374" priority="8819" operator="equal">
      <formula>"HK+"</formula>
    </cfRule>
    <cfRule type="cellIs" dxfId="373" priority="8820" operator="equal">
      <formula>"ID"</formula>
    </cfRule>
    <cfRule type="cellIs" dxfId="372" priority="8821" operator="equal">
      <formula>"ID*"</formula>
    </cfRule>
  </conditionalFormatting>
  <conditionalFormatting sqref="AH172:AJ178 AH180:AJ186 AH188:AJ194 AH196:AJ202 AL172:AL178 AL180:AL186 AL188:AL194 AL196:AL202 AB189:AC189 AE189:AG189">
    <cfRule type="notContainsBlanks" dxfId="371" priority="8754">
      <formula>LEN(TRIM(AB172))&gt;0</formula>
    </cfRule>
  </conditionalFormatting>
  <conditionalFormatting sqref="AH172:AJ178 AL172:AL178">
    <cfRule type="notContainsBlanks" dxfId="370" priority="8744">
      <formula>LEN(TRIM(AH172))&gt;0</formula>
    </cfRule>
    <cfRule type="cellIs" dxfId="369" priority="8745" operator="equal">
      <formula>"ID+"</formula>
    </cfRule>
    <cfRule type="cellIs" dxfId="368" priority="8746" operator="equal">
      <formula>"HK*"</formula>
    </cfRule>
    <cfRule type="cellIs" dxfId="367" priority="8747" operator="equal">
      <formula>"HK"</formula>
    </cfRule>
    <cfRule type="cellIs" dxfId="366" priority="8748" operator="equal">
      <formula>"HK+"</formula>
    </cfRule>
    <cfRule type="cellIs" dxfId="365" priority="8749" operator="equal">
      <formula>"ID"</formula>
    </cfRule>
    <cfRule type="cellIs" dxfId="364" priority="8750" operator="equal">
      <formula>"ID*"</formula>
    </cfRule>
  </conditionalFormatting>
  <conditionalFormatting sqref="AH180:AJ186 AL180:AL186">
    <cfRule type="notContainsBlanks" dxfId="363" priority="8737">
      <formula>LEN(TRIM(AH180))&gt;0</formula>
    </cfRule>
    <cfRule type="cellIs" dxfId="362" priority="8738" operator="equal">
      <formula>"ID+"</formula>
    </cfRule>
    <cfRule type="cellIs" dxfId="361" priority="8739" operator="equal">
      <formula>"HK*"</formula>
    </cfRule>
    <cfRule type="cellIs" dxfId="360" priority="8740" operator="equal">
      <formula>"HK"</formula>
    </cfRule>
    <cfRule type="cellIs" dxfId="359" priority="8741" operator="equal">
      <formula>"HK+"</formula>
    </cfRule>
    <cfRule type="cellIs" dxfId="358" priority="8742" operator="equal">
      <formula>"ID"</formula>
    </cfRule>
    <cfRule type="cellIs" dxfId="357" priority="8743" operator="equal">
      <formula>"ID*"</formula>
    </cfRule>
  </conditionalFormatting>
  <conditionalFormatting sqref="AH188:AJ194 AB189:AC189 AL188:AL194 AE189:AG189">
    <cfRule type="notContainsBlanks" dxfId="356" priority="8730">
      <formula>LEN(TRIM(AB188))&gt;0</formula>
    </cfRule>
  </conditionalFormatting>
  <conditionalFormatting sqref="AH188:AJ194 AL188:AL194 AB189:AC189 AE189:AG189">
    <cfRule type="cellIs" dxfId="355" priority="8731" operator="equal">
      <formula>"ID+"</formula>
    </cfRule>
    <cfRule type="cellIs" dxfId="354" priority="8732" operator="equal">
      <formula>"HK*"</formula>
    </cfRule>
    <cfRule type="cellIs" dxfId="353" priority="8733" operator="equal">
      <formula>"HK"</formula>
    </cfRule>
    <cfRule type="cellIs" dxfId="352" priority="8734" operator="equal">
      <formula>"HK+"</formula>
    </cfRule>
    <cfRule type="cellIs" dxfId="351" priority="8735" operator="equal">
      <formula>"ID"</formula>
    </cfRule>
    <cfRule type="cellIs" dxfId="350" priority="8736" operator="equal">
      <formula>"ID*"</formula>
    </cfRule>
  </conditionalFormatting>
  <conditionalFormatting sqref="AH196:AJ202 AL196:AL202">
    <cfRule type="notContainsBlanks" dxfId="349" priority="8723">
      <formula>LEN(TRIM(AH196))&gt;0</formula>
    </cfRule>
    <cfRule type="cellIs" dxfId="348" priority="8724" operator="equal">
      <formula>"ID+"</formula>
    </cfRule>
    <cfRule type="cellIs" dxfId="347" priority="8725" operator="equal">
      <formula>"HK*"</formula>
    </cfRule>
    <cfRule type="cellIs" dxfId="346" priority="8726" operator="equal">
      <formula>"HK"</formula>
    </cfRule>
    <cfRule type="cellIs" dxfId="345" priority="8727" operator="equal">
      <formula>"HK+"</formula>
    </cfRule>
    <cfRule type="cellIs" dxfId="344" priority="8728" operator="equal">
      <formula>"ID"</formula>
    </cfRule>
    <cfRule type="cellIs" dxfId="343" priority="8729" operator="equal">
      <formula>"ID*"</formula>
    </cfRule>
  </conditionalFormatting>
  <conditionalFormatting sqref="AH204:AJ210 AH212:AJ218 AH220:AJ226 AH228:AJ234 AL204:AL210 AL212:AL218 AL220:AL226 AL228:AL234">
    <cfRule type="notContainsBlanks" dxfId="342" priority="8662">
      <formula>LEN(TRIM(AH204))&gt;0</formula>
    </cfRule>
  </conditionalFormatting>
  <conditionalFormatting sqref="AH204:AJ210 AL204:AL210">
    <cfRule type="notContainsBlanks" dxfId="341" priority="8652">
      <formula>LEN(TRIM(AH204))&gt;0</formula>
    </cfRule>
    <cfRule type="cellIs" dxfId="340" priority="8653" operator="equal">
      <formula>"ID+"</formula>
    </cfRule>
    <cfRule type="cellIs" dxfId="339" priority="8654" operator="equal">
      <formula>"HK*"</formula>
    </cfRule>
    <cfRule type="cellIs" dxfId="338" priority="8655" operator="equal">
      <formula>"HK"</formula>
    </cfRule>
    <cfRule type="cellIs" dxfId="337" priority="8656" operator="equal">
      <formula>"HK+"</formula>
    </cfRule>
    <cfRule type="cellIs" dxfId="336" priority="8657" operator="equal">
      <formula>"ID"</formula>
    </cfRule>
    <cfRule type="cellIs" dxfId="335" priority="8658" operator="equal">
      <formula>"ID*"</formula>
    </cfRule>
  </conditionalFormatting>
  <conditionalFormatting sqref="AH212:AJ218 AL212:AL218">
    <cfRule type="notContainsBlanks" dxfId="334" priority="8645">
      <formula>LEN(TRIM(AH212))&gt;0</formula>
    </cfRule>
    <cfRule type="cellIs" dxfId="333" priority="8646" operator="equal">
      <formula>"ID+"</formula>
    </cfRule>
    <cfRule type="cellIs" dxfId="332" priority="8647" operator="equal">
      <formula>"HK*"</formula>
    </cfRule>
    <cfRule type="cellIs" dxfId="331" priority="8648" operator="equal">
      <formula>"HK"</formula>
    </cfRule>
    <cfRule type="cellIs" dxfId="330" priority="8649" operator="equal">
      <formula>"HK+"</formula>
    </cfRule>
    <cfRule type="cellIs" dxfId="329" priority="8650" operator="equal">
      <formula>"ID"</formula>
    </cfRule>
    <cfRule type="cellIs" dxfId="328" priority="8651" operator="equal">
      <formula>"ID*"</formula>
    </cfRule>
  </conditionalFormatting>
  <conditionalFormatting sqref="AH220:AJ226 AL220:AL226">
    <cfRule type="notContainsBlanks" dxfId="327" priority="8638">
      <formula>LEN(TRIM(AH220))&gt;0</formula>
    </cfRule>
    <cfRule type="cellIs" dxfId="326" priority="8639" operator="equal">
      <formula>"ID+"</formula>
    </cfRule>
    <cfRule type="cellIs" dxfId="325" priority="8640" operator="equal">
      <formula>"HK*"</formula>
    </cfRule>
    <cfRule type="cellIs" dxfId="324" priority="8641" operator="equal">
      <formula>"HK"</formula>
    </cfRule>
    <cfRule type="cellIs" dxfId="323" priority="8642" operator="equal">
      <formula>"HK+"</formula>
    </cfRule>
    <cfRule type="cellIs" dxfId="322" priority="8643" operator="equal">
      <formula>"ID"</formula>
    </cfRule>
    <cfRule type="cellIs" dxfId="321" priority="8644" operator="equal">
      <formula>"ID*"</formula>
    </cfRule>
  </conditionalFormatting>
  <conditionalFormatting sqref="AH228:AJ234 AL228:AL234">
    <cfRule type="notContainsBlanks" dxfId="320" priority="8631">
      <formula>LEN(TRIM(AH228))&gt;0</formula>
    </cfRule>
    <cfRule type="cellIs" dxfId="319" priority="8632" operator="equal">
      <formula>"ID+"</formula>
    </cfRule>
    <cfRule type="cellIs" dxfId="318" priority="8633" operator="equal">
      <formula>"HK*"</formula>
    </cfRule>
    <cfRule type="cellIs" dxfId="317" priority="8634" operator="equal">
      <formula>"HK"</formula>
    </cfRule>
    <cfRule type="cellIs" dxfId="316" priority="8635" operator="equal">
      <formula>"HK+"</formula>
    </cfRule>
    <cfRule type="cellIs" dxfId="315" priority="8636" operator="equal">
      <formula>"ID"</formula>
    </cfRule>
    <cfRule type="cellIs" dxfId="314" priority="8637" operator="equal">
      <formula>"ID*"</formula>
    </cfRule>
  </conditionalFormatting>
  <conditionalFormatting sqref="AH236:AJ242 AH244:AJ250 AH252:AJ258 AH260:AJ266 AL236:AL242 AL244:AL250 AL252:AL258 AL260:AL266">
    <cfRule type="notContainsBlanks" dxfId="313" priority="8570">
      <formula>LEN(TRIM(AH236))&gt;0</formula>
    </cfRule>
  </conditionalFormatting>
  <conditionalFormatting sqref="AH236:AJ242 AL236:AL242">
    <cfRule type="notContainsBlanks" dxfId="312" priority="8560">
      <formula>LEN(TRIM(AH236))&gt;0</formula>
    </cfRule>
    <cfRule type="cellIs" dxfId="311" priority="8561" operator="equal">
      <formula>"ID+"</formula>
    </cfRule>
    <cfRule type="cellIs" dxfId="310" priority="8562" operator="equal">
      <formula>"HK*"</formula>
    </cfRule>
    <cfRule type="cellIs" dxfId="309" priority="8563" operator="equal">
      <formula>"HK"</formula>
    </cfRule>
    <cfRule type="cellIs" dxfId="308" priority="8564" operator="equal">
      <formula>"HK+"</formula>
    </cfRule>
    <cfRule type="cellIs" dxfId="307" priority="8565" operator="equal">
      <formula>"ID"</formula>
    </cfRule>
    <cfRule type="cellIs" dxfId="306" priority="8566" operator="equal">
      <formula>"ID*"</formula>
    </cfRule>
  </conditionalFormatting>
  <conditionalFormatting sqref="AH244:AJ250 AL244:AL250">
    <cfRule type="notContainsBlanks" dxfId="305" priority="8553">
      <formula>LEN(TRIM(AH244))&gt;0</formula>
    </cfRule>
    <cfRule type="cellIs" dxfId="304" priority="8554" operator="equal">
      <formula>"ID+"</formula>
    </cfRule>
    <cfRule type="cellIs" dxfId="303" priority="8555" operator="equal">
      <formula>"HK*"</formula>
    </cfRule>
    <cfRule type="cellIs" dxfId="302" priority="8556" operator="equal">
      <formula>"HK"</formula>
    </cfRule>
    <cfRule type="cellIs" dxfId="301" priority="8557" operator="equal">
      <formula>"HK+"</formula>
    </cfRule>
    <cfRule type="cellIs" dxfId="300" priority="8558" operator="equal">
      <formula>"ID"</formula>
    </cfRule>
    <cfRule type="cellIs" dxfId="299" priority="8559" operator="equal">
      <formula>"ID*"</formula>
    </cfRule>
  </conditionalFormatting>
  <conditionalFormatting sqref="AH252:AJ258 AL252:AL258">
    <cfRule type="notContainsBlanks" dxfId="298" priority="8546">
      <formula>LEN(TRIM(AH252))&gt;0</formula>
    </cfRule>
    <cfRule type="cellIs" dxfId="297" priority="8547" operator="equal">
      <formula>"ID+"</formula>
    </cfRule>
    <cfRule type="cellIs" dxfId="296" priority="8548" operator="equal">
      <formula>"HK*"</formula>
    </cfRule>
    <cfRule type="cellIs" dxfId="295" priority="8549" operator="equal">
      <formula>"HK"</formula>
    </cfRule>
    <cfRule type="cellIs" dxfId="294" priority="8550" operator="equal">
      <formula>"HK+"</formula>
    </cfRule>
    <cfRule type="cellIs" dxfId="293" priority="8551" operator="equal">
      <formula>"ID"</formula>
    </cfRule>
    <cfRule type="cellIs" dxfId="292" priority="8552" operator="equal">
      <formula>"ID*"</formula>
    </cfRule>
  </conditionalFormatting>
  <conditionalFormatting sqref="AH260:AJ266 AL260:AL266">
    <cfRule type="notContainsBlanks" dxfId="291" priority="8539">
      <formula>LEN(TRIM(AH260))&gt;0</formula>
    </cfRule>
    <cfRule type="cellIs" dxfId="290" priority="8540" operator="equal">
      <formula>"ID+"</formula>
    </cfRule>
    <cfRule type="cellIs" dxfId="289" priority="8541" operator="equal">
      <formula>"HK*"</formula>
    </cfRule>
    <cfRule type="cellIs" dxfId="288" priority="8542" operator="equal">
      <formula>"HK"</formula>
    </cfRule>
    <cfRule type="cellIs" dxfId="287" priority="8543" operator="equal">
      <formula>"HK+"</formula>
    </cfRule>
    <cfRule type="cellIs" dxfId="286" priority="8544" operator="equal">
      <formula>"ID"</formula>
    </cfRule>
    <cfRule type="cellIs" dxfId="285" priority="8545" operator="equal">
      <formula>"ID*"</formula>
    </cfRule>
  </conditionalFormatting>
  <conditionalFormatting sqref="AH268:AJ274 AH276:AJ282 AH284:AJ290 AH292:AJ298 AL268:AL274 AL276:AL282 AL284:AL290 AL292:AL298">
    <cfRule type="notContainsBlanks" dxfId="284" priority="8478">
      <formula>LEN(TRIM(AH268))&gt;0</formula>
    </cfRule>
  </conditionalFormatting>
  <conditionalFormatting sqref="AH268:AJ274 AL268:AL274">
    <cfRule type="notContainsBlanks" dxfId="283" priority="8468">
      <formula>LEN(TRIM(AH268))&gt;0</formula>
    </cfRule>
    <cfRule type="cellIs" dxfId="282" priority="8469" operator="equal">
      <formula>"ID+"</formula>
    </cfRule>
    <cfRule type="cellIs" dxfId="281" priority="8470" operator="equal">
      <formula>"HK*"</formula>
    </cfRule>
    <cfRule type="cellIs" dxfId="280" priority="8471" operator="equal">
      <formula>"HK"</formula>
    </cfRule>
    <cfRule type="cellIs" dxfId="279" priority="8472" operator="equal">
      <formula>"HK+"</formula>
    </cfRule>
    <cfRule type="cellIs" dxfId="278" priority="8473" operator="equal">
      <formula>"ID"</formula>
    </cfRule>
    <cfRule type="cellIs" dxfId="277" priority="8474" operator="equal">
      <formula>"ID*"</formula>
    </cfRule>
  </conditionalFormatting>
  <conditionalFormatting sqref="AH276:AJ282 AL276:AL282">
    <cfRule type="notContainsBlanks" dxfId="276" priority="8461">
      <formula>LEN(TRIM(AH276))&gt;0</formula>
    </cfRule>
    <cfRule type="cellIs" dxfId="275" priority="8462" operator="equal">
      <formula>"ID+"</formula>
    </cfRule>
    <cfRule type="cellIs" dxfId="274" priority="8463" operator="equal">
      <formula>"HK*"</formula>
    </cfRule>
    <cfRule type="cellIs" dxfId="273" priority="8464" operator="equal">
      <formula>"HK"</formula>
    </cfRule>
    <cfRule type="cellIs" dxfId="272" priority="8465" operator="equal">
      <formula>"HK+"</formula>
    </cfRule>
    <cfRule type="cellIs" dxfId="271" priority="8466" operator="equal">
      <formula>"ID"</formula>
    </cfRule>
    <cfRule type="cellIs" dxfId="270" priority="8467" operator="equal">
      <formula>"ID*"</formula>
    </cfRule>
  </conditionalFormatting>
  <conditionalFormatting sqref="AH284:AJ290 AL284:AL290">
    <cfRule type="notContainsBlanks" dxfId="269" priority="8454">
      <formula>LEN(TRIM(AH284))&gt;0</formula>
    </cfRule>
    <cfRule type="cellIs" dxfId="268" priority="8455" operator="equal">
      <formula>"ID+"</formula>
    </cfRule>
    <cfRule type="cellIs" dxfId="267" priority="8456" operator="equal">
      <formula>"HK*"</formula>
    </cfRule>
    <cfRule type="cellIs" dxfId="266" priority="8457" operator="equal">
      <formula>"HK"</formula>
    </cfRule>
    <cfRule type="cellIs" dxfId="265" priority="8458" operator="equal">
      <formula>"HK+"</formula>
    </cfRule>
    <cfRule type="cellIs" dxfId="264" priority="8459" operator="equal">
      <formula>"ID"</formula>
    </cfRule>
    <cfRule type="cellIs" dxfId="263" priority="8460" operator="equal">
      <formula>"ID*"</formula>
    </cfRule>
  </conditionalFormatting>
  <conditionalFormatting sqref="AH292:AJ298 AL292:AL298">
    <cfRule type="notContainsBlanks" dxfId="262" priority="8447">
      <formula>LEN(TRIM(AH292))&gt;0</formula>
    </cfRule>
    <cfRule type="cellIs" dxfId="261" priority="8448" operator="equal">
      <formula>"ID+"</formula>
    </cfRule>
    <cfRule type="cellIs" dxfId="260" priority="8449" operator="equal">
      <formula>"HK*"</formula>
    </cfRule>
    <cfRule type="cellIs" dxfId="259" priority="8450" operator="equal">
      <formula>"HK"</formula>
    </cfRule>
    <cfRule type="cellIs" dxfId="258" priority="8451" operator="equal">
      <formula>"HK+"</formula>
    </cfRule>
    <cfRule type="cellIs" dxfId="257" priority="8452" operator="equal">
      <formula>"ID"</formula>
    </cfRule>
    <cfRule type="cellIs" dxfId="256" priority="8453" operator="equal">
      <formula>"ID*"</formula>
    </cfRule>
  </conditionalFormatting>
  <conditionalFormatting sqref="AH300:AJ306 AH308:AJ314 AH316:AJ322 AH324:AJ330 AL300:AL306 AL308:AL314 AL316:AL322 AL324:AL330">
    <cfRule type="notContainsBlanks" dxfId="255" priority="8386">
      <formula>LEN(TRIM(AH300))&gt;0</formula>
    </cfRule>
  </conditionalFormatting>
  <conditionalFormatting sqref="AH300:AJ306 AL300:AL306">
    <cfRule type="notContainsBlanks" dxfId="254" priority="8376">
      <formula>LEN(TRIM(AH300))&gt;0</formula>
    </cfRule>
    <cfRule type="cellIs" dxfId="253" priority="8377" operator="equal">
      <formula>"ID+"</formula>
    </cfRule>
    <cfRule type="cellIs" dxfId="252" priority="8378" operator="equal">
      <formula>"HK*"</formula>
    </cfRule>
    <cfRule type="cellIs" dxfId="251" priority="8379" operator="equal">
      <formula>"HK"</formula>
    </cfRule>
    <cfRule type="cellIs" dxfId="250" priority="8380" operator="equal">
      <formula>"HK+"</formula>
    </cfRule>
    <cfRule type="cellIs" dxfId="249" priority="8381" operator="equal">
      <formula>"ID"</formula>
    </cfRule>
    <cfRule type="cellIs" dxfId="248" priority="8382" operator="equal">
      <formula>"ID*"</formula>
    </cfRule>
  </conditionalFormatting>
  <conditionalFormatting sqref="AH308:AJ314 AL308:AL314">
    <cfRule type="notContainsBlanks" dxfId="247" priority="8369">
      <formula>LEN(TRIM(AH308))&gt;0</formula>
    </cfRule>
    <cfRule type="cellIs" dxfId="246" priority="8370" operator="equal">
      <formula>"ID+"</formula>
    </cfRule>
    <cfRule type="cellIs" dxfId="245" priority="8371" operator="equal">
      <formula>"HK*"</formula>
    </cfRule>
    <cfRule type="cellIs" dxfId="244" priority="8372" operator="equal">
      <formula>"HK"</formula>
    </cfRule>
    <cfRule type="cellIs" dxfId="243" priority="8373" operator="equal">
      <formula>"HK+"</formula>
    </cfRule>
    <cfRule type="cellIs" dxfId="242" priority="8374" operator="equal">
      <formula>"ID"</formula>
    </cfRule>
    <cfRule type="cellIs" dxfId="241" priority="8375" operator="equal">
      <formula>"ID*"</formula>
    </cfRule>
  </conditionalFormatting>
  <conditionalFormatting sqref="AH316:AJ322 AL316:AL322">
    <cfRule type="notContainsBlanks" dxfId="240" priority="8362">
      <formula>LEN(TRIM(AH316))&gt;0</formula>
    </cfRule>
    <cfRule type="cellIs" dxfId="239" priority="8363" operator="equal">
      <formula>"ID+"</formula>
    </cfRule>
    <cfRule type="cellIs" dxfId="238" priority="8364" operator="equal">
      <formula>"HK*"</formula>
    </cfRule>
    <cfRule type="cellIs" dxfId="237" priority="8365" operator="equal">
      <formula>"HK"</formula>
    </cfRule>
    <cfRule type="cellIs" dxfId="236" priority="8366" operator="equal">
      <formula>"HK+"</formula>
    </cfRule>
    <cfRule type="cellIs" dxfId="235" priority="8367" operator="equal">
      <formula>"ID"</formula>
    </cfRule>
    <cfRule type="cellIs" dxfId="234" priority="8368" operator="equal">
      <formula>"ID*"</formula>
    </cfRule>
  </conditionalFormatting>
  <conditionalFormatting sqref="AH324:AJ330 AL324:AL330">
    <cfRule type="notContainsBlanks" dxfId="233" priority="8355">
      <formula>LEN(TRIM(AH324))&gt;0</formula>
    </cfRule>
    <cfRule type="cellIs" dxfId="232" priority="8356" operator="equal">
      <formula>"ID+"</formula>
    </cfRule>
    <cfRule type="cellIs" dxfId="231" priority="8357" operator="equal">
      <formula>"HK*"</formula>
    </cfRule>
    <cfRule type="cellIs" dxfId="230" priority="8358" operator="equal">
      <formula>"HK"</formula>
    </cfRule>
    <cfRule type="cellIs" dxfId="229" priority="8359" operator="equal">
      <formula>"HK+"</formula>
    </cfRule>
    <cfRule type="cellIs" dxfId="228" priority="8360" operator="equal">
      <formula>"ID"</formula>
    </cfRule>
    <cfRule type="cellIs" dxfId="227" priority="8361" operator="equal">
      <formula>"ID*"</formula>
    </cfRule>
  </conditionalFormatting>
  <conditionalFormatting sqref="AH332:AJ338 AH340:AJ346 AH348:AJ354 AH356:AJ362 AL332:AL338 AL340:AL346 AL348:AL354 AL356:AL362">
    <cfRule type="notContainsBlanks" dxfId="226" priority="8294">
      <formula>LEN(TRIM(AH332))&gt;0</formula>
    </cfRule>
  </conditionalFormatting>
  <conditionalFormatting sqref="AH332:AJ338 AL332:AL338">
    <cfRule type="notContainsBlanks" dxfId="225" priority="8284">
      <formula>LEN(TRIM(AH332))&gt;0</formula>
    </cfRule>
    <cfRule type="cellIs" dxfId="224" priority="8285" operator="equal">
      <formula>"ID+"</formula>
    </cfRule>
    <cfRule type="cellIs" dxfId="223" priority="8286" operator="equal">
      <formula>"HK*"</formula>
    </cfRule>
    <cfRule type="cellIs" dxfId="222" priority="8287" operator="equal">
      <formula>"HK"</formula>
    </cfRule>
    <cfRule type="cellIs" dxfId="221" priority="8288" operator="equal">
      <formula>"HK+"</formula>
    </cfRule>
    <cfRule type="cellIs" dxfId="220" priority="8289" operator="equal">
      <formula>"ID"</formula>
    </cfRule>
    <cfRule type="cellIs" dxfId="219" priority="8290" operator="equal">
      <formula>"ID*"</formula>
    </cfRule>
  </conditionalFormatting>
  <conditionalFormatting sqref="AH340:AJ346 AL340:AL346">
    <cfRule type="notContainsBlanks" dxfId="218" priority="8277">
      <formula>LEN(TRIM(AH340))&gt;0</formula>
    </cfRule>
    <cfRule type="cellIs" dxfId="217" priority="8278" operator="equal">
      <formula>"ID+"</formula>
    </cfRule>
    <cfRule type="cellIs" dxfId="216" priority="8279" operator="equal">
      <formula>"HK*"</formula>
    </cfRule>
    <cfRule type="cellIs" dxfId="215" priority="8280" operator="equal">
      <formula>"HK"</formula>
    </cfRule>
    <cfRule type="cellIs" dxfId="214" priority="8281" operator="equal">
      <formula>"HK+"</formula>
    </cfRule>
    <cfRule type="cellIs" dxfId="213" priority="8282" operator="equal">
      <formula>"ID"</formula>
    </cfRule>
    <cfRule type="cellIs" dxfId="212" priority="8283" operator="equal">
      <formula>"ID*"</formula>
    </cfRule>
  </conditionalFormatting>
  <conditionalFormatting sqref="AH348:AJ354 AL348:AL354">
    <cfRule type="notContainsBlanks" dxfId="211" priority="8270">
      <formula>LEN(TRIM(AH348))&gt;0</formula>
    </cfRule>
    <cfRule type="cellIs" dxfId="210" priority="8271" operator="equal">
      <formula>"ID+"</formula>
    </cfRule>
    <cfRule type="cellIs" dxfId="209" priority="8272" operator="equal">
      <formula>"HK*"</formula>
    </cfRule>
    <cfRule type="cellIs" dxfId="208" priority="8273" operator="equal">
      <formula>"HK"</formula>
    </cfRule>
    <cfRule type="cellIs" dxfId="207" priority="8274" operator="equal">
      <formula>"HK+"</formula>
    </cfRule>
    <cfRule type="cellIs" dxfId="206" priority="8275" operator="equal">
      <formula>"ID"</formula>
    </cfRule>
    <cfRule type="cellIs" dxfId="205" priority="8276" operator="equal">
      <formula>"ID*"</formula>
    </cfRule>
  </conditionalFormatting>
  <conditionalFormatting sqref="AH356:AJ362 AL356:AL362">
    <cfRule type="notContainsBlanks" dxfId="204" priority="8263">
      <formula>LEN(TRIM(AH356))&gt;0</formula>
    </cfRule>
    <cfRule type="cellIs" dxfId="203" priority="8264" operator="equal">
      <formula>"ID+"</formula>
    </cfRule>
    <cfRule type="cellIs" dxfId="202" priority="8265" operator="equal">
      <formula>"HK*"</formula>
    </cfRule>
    <cfRule type="cellIs" dxfId="201" priority="8266" operator="equal">
      <formula>"HK"</formula>
    </cfRule>
    <cfRule type="cellIs" dxfId="200" priority="8267" operator="equal">
      <formula>"HK+"</formula>
    </cfRule>
    <cfRule type="cellIs" dxfId="199" priority="8268" operator="equal">
      <formula>"ID"</formula>
    </cfRule>
    <cfRule type="cellIs" dxfId="198" priority="8269" operator="equal">
      <formula>"ID*"</formula>
    </cfRule>
  </conditionalFormatting>
  <conditionalFormatting sqref="AH364:AJ370 AH372:AJ378 AH380:AJ386 AH388:AJ394 AL364:AL370 AL372:AL378 AL380:AL386 AL388:AL394">
    <cfRule type="notContainsBlanks" dxfId="197" priority="8202">
      <formula>LEN(TRIM(AH364))&gt;0</formula>
    </cfRule>
  </conditionalFormatting>
  <conditionalFormatting sqref="AH364:AJ370 AL364:AL370">
    <cfRule type="notContainsBlanks" dxfId="196" priority="8192">
      <formula>LEN(TRIM(AH364))&gt;0</formula>
    </cfRule>
    <cfRule type="cellIs" dxfId="195" priority="8193" operator="equal">
      <formula>"ID+"</formula>
    </cfRule>
    <cfRule type="cellIs" dxfId="194" priority="8194" operator="equal">
      <formula>"HK*"</formula>
    </cfRule>
    <cfRule type="cellIs" dxfId="193" priority="8195" operator="equal">
      <formula>"HK"</formula>
    </cfRule>
    <cfRule type="cellIs" dxfId="192" priority="8196" operator="equal">
      <formula>"HK+"</formula>
    </cfRule>
    <cfRule type="cellIs" dxfId="191" priority="8197" operator="equal">
      <formula>"ID"</formula>
    </cfRule>
    <cfRule type="cellIs" dxfId="190" priority="8198" operator="equal">
      <formula>"ID*"</formula>
    </cfRule>
  </conditionalFormatting>
  <conditionalFormatting sqref="AH372:AJ378 AL372:AL378">
    <cfRule type="notContainsBlanks" dxfId="189" priority="8185">
      <formula>LEN(TRIM(AH372))&gt;0</formula>
    </cfRule>
    <cfRule type="cellIs" dxfId="188" priority="8186" operator="equal">
      <formula>"ID+"</formula>
    </cfRule>
    <cfRule type="cellIs" dxfId="187" priority="8187" operator="equal">
      <formula>"HK*"</formula>
    </cfRule>
    <cfRule type="cellIs" dxfId="186" priority="8188" operator="equal">
      <formula>"HK"</formula>
    </cfRule>
    <cfRule type="cellIs" dxfId="185" priority="8189" operator="equal">
      <formula>"HK+"</formula>
    </cfRule>
    <cfRule type="cellIs" dxfId="184" priority="8190" operator="equal">
      <formula>"ID"</formula>
    </cfRule>
    <cfRule type="cellIs" dxfId="183" priority="8191" operator="equal">
      <formula>"ID*"</formula>
    </cfRule>
  </conditionalFormatting>
  <conditionalFormatting sqref="AH380:AJ386 AL380:AL386">
    <cfRule type="notContainsBlanks" dxfId="182" priority="8178">
      <formula>LEN(TRIM(AH380))&gt;0</formula>
    </cfRule>
    <cfRule type="cellIs" dxfId="181" priority="8179" operator="equal">
      <formula>"ID+"</formula>
    </cfRule>
    <cfRule type="cellIs" dxfId="180" priority="8180" operator="equal">
      <formula>"HK*"</formula>
    </cfRule>
    <cfRule type="cellIs" dxfId="179" priority="8181" operator="equal">
      <formula>"HK"</formula>
    </cfRule>
    <cfRule type="cellIs" dxfId="178" priority="8182" operator="equal">
      <formula>"HK+"</formula>
    </cfRule>
    <cfRule type="cellIs" dxfId="177" priority="8183" operator="equal">
      <formula>"ID"</formula>
    </cfRule>
    <cfRule type="cellIs" dxfId="176" priority="8184" operator="equal">
      <formula>"ID*"</formula>
    </cfRule>
  </conditionalFormatting>
  <conditionalFormatting sqref="AH388:AJ394 AL388:AL394">
    <cfRule type="notContainsBlanks" dxfId="175" priority="8171">
      <formula>LEN(TRIM(AH388))&gt;0</formula>
    </cfRule>
    <cfRule type="cellIs" dxfId="174" priority="8172" operator="equal">
      <formula>"ID+"</formula>
    </cfRule>
    <cfRule type="cellIs" dxfId="173" priority="8173" operator="equal">
      <formula>"HK*"</formula>
    </cfRule>
    <cfRule type="cellIs" dxfId="172" priority="8174" operator="equal">
      <formula>"HK"</formula>
    </cfRule>
    <cfRule type="cellIs" dxfId="171" priority="8175" operator="equal">
      <formula>"HK+"</formula>
    </cfRule>
    <cfRule type="cellIs" dxfId="170" priority="8176" operator="equal">
      <formula>"ID"</formula>
    </cfRule>
    <cfRule type="cellIs" dxfId="169" priority="8177" operator="equal">
      <formula>"ID*"</formula>
    </cfRule>
  </conditionalFormatting>
  <conditionalFormatting sqref="AH396:AJ402 AH404:AJ410 AH412:AJ418 AL396:AL402 AL404:AL410 AL412:AL418 AH419">
    <cfRule type="notContainsBlanks" dxfId="168" priority="8127">
      <formula>LEN(TRIM(AH396))&gt;0</formula>
    </cfRule>
  </conditionalFormatting>
  <conditionalFormatting sqref="AH396:AJ402 AL396:AL402">
    <cfRule type="notContainsBlanks" dxfId="167" priority="8120">
      <formula>LEN(TRIM(AH396))&gt;0</formula>
    </cfRule>
    <cfRule type="cellIs" dxfId="166" priority="8121" operator="equal">
      <formula>"ID+"</formula>
    </cfRule>
    <cfRule type="cellIs" dxfId="165" priority="8122" operator="equal">
      <formula>"HK*"</formula>
    </cfRule>
    <cfRule type="cellIs" dxfId="164" priority="8123" operator="equal">
      <formula>"HK"</formula>
    </cfRule>
    <cfRule type="cellIs" dxfId="163" priority="8124" operator="equal">
      <formula>"HK+"</formula>
    </cfRule>
    <cfRule type="cellIs" dxfId="162" priority="8125" operator="equal">
      <formula>"ID"</formula>
    </cfRule>
    <cfRule type="cellIs" dxfId="161" priority="8126" operator="equal">
      <formula>"ID*"</formula>
    </cfRule>
  </conditionalFormatting>
  <conditionalFormatting sqref="AH404:AJ410 AL404:AL410">
    <cfRule type="notContainsBlanks" dxfId="160" priority="8113">
      <formula>LEN(TRIM(AH404))&gt;0</formula>
    </cfRule>
    <cfRule type="cellIs" dxfId="159" priority="8114" operator="equal">
      <formula>"ID+"</formula>
    </cfRule>
    <cfRule type="cellIs" dxfId="158" priority="8115" operator="equal">
      <formula>"HK*"</formula>
    </cfRule>
    <cfRule type="cellIs" dxfId="157" priority="8116" operator="equal">
      <formula>"HK"</formula>
    </cfRule>
    <cfRule type="cellIs" dxfId="156" priority="8117" operator="equal">
      <formula>"HK+"</formula>
    </cfRule>
    <cfRule type="cellIs" dxfId="155" priority="8118" operator="equal">
      <formula>"ID"</formula>
    </cfRule>
    <cfRule type="cellIs" dxfId="154" priority="8119" operator="equal">
      <formula>"ID*"</formula>
    </cfRule>
  </conditionalFormatting>
  <conditionalFormatting sqref="AH412:AJ418 AL412:AL418">
    <cfRule type="notContainsBlanks" dxfId="153" priority="8106">
      <formula>LEN(TRIM(AH412))&gt;0</formula>
    </cfRule>
    <cfRule type="cellIs" dxfId="152" priority="8107" operator="equal">
      <formula>"ID+"</formula>
    </cfRule>
    <cfRule type="cellIs" dxfId="151" priority="8108" operator="equal">
      <formula>"HK*"</formula>
    </cfRule>
    <cfRule type="cellIs" dxfId="150" priority="8109" operator="equal">
      <formula>"HK"</formula>
    </cfRule>
    <cfRule type="cellIs" dxfId="149" priority="8110" operator="equal">
      <formula>"HK+"</formula>
    </cfRule>
    <cfRule type="cellIs" dxfId="148" priority="8111" operator="equal">
      <formula>"ID"</formula>
    </cfRule>
    <cfRule type="cellIs" dxfId="147" priority="8112" operator="equal">
      <formula>"ID*"</formula>
    </cfRule>
  </conditionalFormatting>
  <conditionalFormatting sqref="AH422:AJ428 AL422:AL428">
    <cfRule type="cellIs" dxfId="146" priority="9256" operator="equal">
      <formula>"ID+"</formula>
    </cfRule>
    <cfRule type="cellIs" dxfId="145" priority="9257" operator="equal">
      <formula>"HK*"</formula>
    </cfRule>
    <cfRule type="cellIs" dxfId="144" priority="9258" operator="equal">
      <formula>"HK"</formula>
    </cfRule>
    <cfRule type="cellIs" dxfId="143" priority="9259" operator="equal">
      <formula>"HK+"</formula>
    </cfRule>
    <cfRule type="cellIs" dxfId="142" priority="9260" operator="equal">
      <formula>"ID"</formula>
    </cfRule>
    <cfRule type="cellIs" dxfId="141" priority="9261" operator="equal">
      <formula>"ID*"</formula>
    </cfRule>
  </conditionalFormatting>
  <conditionalFormatting sqref="AH430:AJ436 AL430:AL436">
    <cfRule type="cellIs" dxfId="140" priority="9250" operator="equal">
      <formula>"ID+"</formula>
    </cfRule>
    <cfRule type="cellIs" dxfId="139" priority="9251" operator="equal">
      <formula>"HK*"</formula>
    </cfRule>
    <cfRule type="cellIs" dxfId="138" priority="9252" operator="equal">
      <formula>"HK"</formula>
    </cfRule>
    <cfRule type="cellIs" dxfId="137" priority="9253" operator="equal">
      <formula>"HK+"</formula>
    </cfRule>
    <cfRule type="cellIs" dxfId="136" priority="9254" operator="equal">
      <formula>"ID"</formula>
    </cfRule>
    <cfRule type="cellIs" dxfId="135" priority="9255" operator="equal">
      <formula>"ID*"</formula>
    </cfRule>
  </conditionalFormatting>
  <conditionalFormatting sqref="AH438:AJ444 AL438:AL444">
    <cfRule type="cellIs" dxfId="134" priority="9244" operator="equal">
      <formula>"ID+"</formula>
    </cfRule>
    <cfRule type="cellIs" dxfId="133" priority="9245" operator="equal">
      <formula>"HK*"</formula>
    </cfRule>
    <cfRule type="cellIs" dxfId="132" priority="9246" operator="equal">
      <formula>"HK"</formula>
    </cfRule>
    <cfRule type="cellIs" dxfId="131" priority="9247" operator="equal">
      <formula>"HK+"</formula>
    </cfRule>
    <cfRule type="cellIs" dxfId="130" priority="9248" operator="equal">
      <formula>"ID"</formula>
    </cfRule>
    <cfRule type="cellIs" dxfId="129" priority="9249" operator="equal">
      <formula>"ID*"</formula>
    </cfRule>
  </conditionalFormatting>
  <conditionalFormatting sqref="AI1:AI2">
    <cfRule type="notContainsBlanks" dxfId="128" priority="6007">
      <formula>LEN(TRIM(AI1))&gt;0</formula>
    </cfRule>
  </conditionalFormatting>
  <conditionalFormatting sqref="AI3:AI75 K3:K75 W3:W75 AI83:AI1048576 K83:K1048576 W83:W1048576">
    <cfRule type="notContainsBlanks" dxfId="127" priority="8103">
      <formula>LEN(TRIM(K3))&gt;0</formula>
    </cfRule>
  </conditionalFormatting>
  <conditionalFormatting sqref="AI4:AI10">
    <cfRule type="notContainsBlanks" dxfId="126" priority="8019">
      <formula>LEN(TRIM(AI4))&gt;0</formula>
    </cfRule>
  </conditionalFormatting>
  <conditionalFormatting sqref="AI12:AI18">
    <cfRule type="notContainsBlanks" dxfId="125" priority="9142">
      <formula>LEN(TRIM(AI12))&gt;0</formula>
    </cfRule>
  </conditionalFormatting>
  <conditionalFormatting sqref="AI20:AI26">
    <cfRule type="notContainsBlanks" dxfId="124" priority="9152">
      <formula>LEN(TRIM(AI20))&gt;0</formula>
    </cfRule>
  </conditionalFormatting>
  <conditionalFormatting sqref="AI28:AI34">
    <cfRule type="notContainsBlanks" dxfId="123" priority="9162">
      <formula>LEN(TRIM(AI28))&gt;0</formula>
    </cfRule>
  </conditionalFormatting>
  <conditionalFormatting sqref="AI36:AI42">
    <cfRule type="notContainsBlanks" dxfId="122" priority="9172">
      <formula>LEN(TRIM(AI36))&gt;0</formula>
    </cfRule>
  </conditionalFormatting>
  <conditionalFormatting sqref="AI76:AI82">
    <cfRule type="cellIs" dxfId="121" priority="4630" operator="equal">
      <formula>"_"</formula>
    </cfRule>
    <cfRule type="timePeriod" dxfId="120" priority="4631" timePeriod="thisMonth">
      <formula>AND(MONTH(AI76)=MONTH(TODAY()),YEAR(AI76)=YEAR(TODAY()))</formula>
    </cfRule>
    <cfRule type="notContainsBlanks" dxfId="119" priority="4632">
      <formula>LEN(TRIM(AI76))&gt;0</formula>
    </cfRule>
    <cfRule type="notContainsBlanks" dxfId="118" priority="4633">
      <formula>LEN(TRIM(AI76))&gt;0</formula>
    </cfRule>
    <cfRule type="cellIs" dxfId="117" priority="4634" operator="equal">
      <formula>"ID+"</formula>
    </cfRule>
    <cfRule type="cellIs" dxfId="116" priority="4635" operator="equal">
      <formula>"HK*"</formula>
    </cfRule>
    <cfRule type="cellIs" dxfId="115" priority="4636" operator="equal">
      <formula>"HK"</formula>
    </cfRule>
    <cfRule type="cellIs" dxfId="114" priority="4637" operator="equal">
      <formula>"HK+"</formula>
    </cfRule>
    <cfRule type="cellIs" dxfId="113" priority="4638" operator="equal">
      <formula>"ID"</formula>
    </cfRule>
    <cfRule type="cellIs" dxfId="112" priority="4639" operator="equal">
      <formula>"ID*"</formula>
    </cfRule>
    <cfRule type="notContainsBlanks" dxfId="111" priority="4640">
      <formula>LEN(TRIM(AI76))&gt;0</formula>
    </cfRule>
    <cfRule type="notContainsBlanks" dxfId="110" priority="4641">
      <formula>LEN(TRIM(AI76))&gt;0</formula>
    </cfRule>
    <cfRule type="containsText" dxfId="109" priority="4642" operator="containsText" text="[adv]">
      <formula>NOT(ISERROR(SEARCH("[adv]",AI76)))</formula>
    </cfRule>
  </conditionalFormatting>
  <conditionalFormatting sqref="AI84:AI90">
    <cfRule type="notContainsBlanks" dxfId="108" priority="9040">
      <formula>LEN(TRIM(AI84))&gt;0</formula>
    </cfRule>
  </conditionalFormatting>
  <conditionalFormatting sqref="AI92:AI98">
    <cfRule type="notContainsBlanks" dxfId="107" priority="9029">
      <formula>LEN(TRIM(AI92))&gt;0</formula>
    </cfRule>
  </conditionalFormatting>
  <conditionalFormatting sqref="AI100:AI106 AI108:AI114 AI116:AI122">
    <cfRule type="notContainsBlanks" dxfId="106" priority="8979">
      <formula>LEN(TRIM(AI100))&gt;0</formula>
    </cfRule>
  </conditionalFormatting>
  <conditionalFormatting sqref="AI124:AI130 AI132:AI138 AI140:AI146">
    <cfRule type="notContainsBlanks" dxfId="105" priority="8908">
      <formula>LEN(TRIM(AI124))&gt;0</formula>
    </cfRule>
  </conditionalFormatting>
  <conditionalFormatting sqref="AI148:AI154 AI156:AI162 AI164:AI170">
    <cfRule type="notContainsBlanks" dxfId="104" priority="8838">
      <formula>LEN(TRIM(AI148))&gt;0</formula>
    </cfRule>
  </conditionalFormatting>
  <conditionalFormatting sqref="AI172:AI178 AI180:AI186 AI188:AI194 AI196:AI202">
    <cfRule type="notContainsBlanks" dxfId="103" priority="8753">
      <formula>LEN(TRIM(AI172))&gt;0</formula>
    </cfRule>
  </conditionalFormatting>
  <conditionalFormatting sqref="AI204:AI210 AI212:AI218 AI220:AI226 AI228:AI234">
    <cfRule type="notContainsBlanks" dxfId="102" priority="8661">
      <formula>LEN(TRIM(AI204))&gt;0</formula>
    </cfRule>
  </conditionalFormatting>
  <conditionalFormatting sqref="AI236:AI242 AI244:AI250 AI252:AI258 AI260:AI266">
    <cfRule type="notContainsBlanks" dxfId="101" priority="8569">
      <formula>LEN(TRIM(AI236))&gt;0</formula>
    </cfRule>
  </conditionalFormatting>
  <conditionalFormatting sqref="AI268:AI274 AI276:AI282 AI284:AI290 AI292:AI298">
    <cfRule type="notContainsBlanks" dxfId="100" priority="8477">
      <formula>LEN(TRIM(AI268))&gt;0</formula>
    </cfRule>
  </conditionalFormatting>
  <conditionalFormatting sqref="AI300:AI306 AI308:AI314 AI316:AI322 AI324:AI330">
    <cfRule type="notContainsBlanks" dxfId="99" priority="8385">
      <formula>LEN(TRIM(AI300))&gt;0</formula>
    </cfRule>
  </conditionalFormatting>
  <conditionalFormatting sqref="AI332:AI338 AI340:AI346 AI348:AI354 AI356:AI362">
    <cfRule type="notContainsBlanks" dxfId="98" priority="8293">
      <formula>LEN(TRIM(AI332))&gt;0</formula>
    </cfRule>
  </conditionalFormatting>
  <conditionalFormatting sqref="AI364:AI370 AI372:AI378 AI380:AI386 AI388:AI394">
    <cfRule type="notContainsBlanks" dxfId="97" priority="8201">
      <formula>LEN(TRIM(AI364))&gt;0</formula>
    </cfRule>
  </conditionalFormatting>
  <conditionalFormatting sqref="AI421:AI456">
    <cfRule type="notContainsBlanks" dxfId="96" priority="9264">
      <formula>LEN(TRIM(AI421))&gt;0</formula>
    </cfRule>
  </conditionalFormatting>
  <conditionalFormatting sqref="AJ2">
    <cfRule type="notContainsBlanks" dxfId="95" priority="6006">
      <formula>LEN(TRIM(AJ2))&gt;0</formula>
    </cfRule>
  </conditionalFormatting>
  <conditionalFormatting sqref="AJ3:AJ75 X83 AJ83 X91 AJ91 X99 AJ99 X107 AJ107 X115 AJ115 X123 AJ123 X131 AJ131 X139 AJ139 X147 AJ147 X155 AJ155 X163 AJ163 X171 AJ171 X179 AJ179 X187 AJ187 X195 AJ195 X203 AJ203 X211 AJ211 X219 AJ219 X227 AJ227 X235 AJ235 X243 AJ243 X251 AJ251 X259 AJ259 X267 AJ267 X275 AJ275 X283 AJ283 X291 AJ291 X299 AJ299 X307 AJ307 X315 AJ315 X323 AJ323 X331 AJ331 X339 AJ339 X347 AJ347 X355 AJ355 X363 AJ363 X371 AJ371 X379 AJ379 X387 AJ387 L83:L1048576 X395:X420 AJ395:AJ420 L3:L75 X3:X75">
    <cfRule type="notContainsBlanks" dxfId="94" priority="9365">
      <formula>LEN(TRIM(L3))&gt;0</formula>
    </cfRule>
  </conditionalFormatting>
  <conditionalFormatting sqref="AJ3:AJ75 AJ83:AJ1048576 L83:L1048576 X83:X1048576 L3:L75 X3:X75">
    <cfRule type="notContainsBlanks" dxfId="93" priority="8102">
      <formula>LEN(TRIM(L3))&gt;0</formula>
    </cfRule>
  </conditionalFormatting>
  <conditionalFormatting sqref="AJ4:AJ10">
    <cfRule type="notContainsBlanks" dxfId="92" priority="8018">
      <formula>LEN(TRIM(AJ4))&gt;0</formula>
    </cfRule>
  </conditionalFormatting>
  <conditionalFormatting sqref="AJ12:AJ18">
    <cfRule type="notContainsBlanks" dxfId="91" priority="9141">
      <formula>LEN(TRIM(AJ12))&gt;0</formula>
    </cfRule>
  </conditionalFormatting>
  <conditionalFormatting sqref="AJ20:AJ26">
    <cfRule type="notContainsBlanks" dxfId="90" priority="9151">
      <formula>LEN(TRIM(AJ20))&gt;0</formula>
    </cfRule>
  </conditionalFormatting>
  <conditionalFormatting sqref="AJ28:AJ34">
    <cfRule type="notContainsBlanks" dxfId="89" priority="9161">
      <formula>LEN(TRIM(AJ28))&gt;0</formula>
    </cfRule>
  </conditionalFormatting>
  <conditionalFormatting sqref="AJ36:AJ42">
    <cfRule type="notContainsBlanks" dxfId="88" priority="9171">
      <formula>LEN(TRIM(AJ36))&gt;0</formula>
    </cfRule>
  </conditionalFormatting>
  <conditionalFormatting sqref="AJ76:AJ82">
    <cfRule type="cellIs" dxfId="87" priority="4617" operator="equal">
      <formula>"_"</formula>
    </cfRule>
    <cfRule type="timePeriod" dxfId="86" priority="4618" timePeriod="thisMonth">
      <formula>AND(MONTH(AJ76)=MONTH(TODAY()),YEAR(AJ76)=YEAR(TODAY()))</formula>
    </cfRule>
    <cfRule type="notContainsBlanks" dxfId="85" priority="4619">
      <formula>LEN(TRIM(AJ76))&gt;0</formula>
    </cfRule>
    <cfRule type="notContainsBlanks" dxfId="84" priority="4620">
      <formula>LEN(TRIM(AJ76))&gt;0</formula>
    </cfRule>
    <cfRule type="cellIs" dxfId="83" priority="4621" operator="equal">
      <formula>"ID+"</formula>
    </cfRule>
    <cfRule type="cellIs" dxfId="82" priority="4622" operator="equal">
      <formula>"HK*"</formula>
    </cfRule>
    <cfRule type="cellIs" dxfId="81" priority="4623" operator="equal">
      <formula>"HK"</formula>
    </cfRule>
    <cfRule type="cellIs" dxfId="80" priority="4624" operator="equal">
      <formula>"HK+"</formula>
    </cfRule>
    <cfRule type="cellIs" dxfId="79" priority="4625" operator="equal">
      <formula>"ID"</formula>
    </cfRule>
    <cfRule type="cellIs" dxfId="78" priority="4626" operator="equal">
      <formula>"ID*"</formula>
    </cfRule>
    <cfRule type="notContainsBlanks" dxfId="77" priority="4627">
      <formula>LEN(TRIM(AJ76))&gt;0</formula>
    </cfRule>
    <cfRule type="notContainsBlanks" dxfId="76" priority="4628">
      <formula>LEN(TRIM(AJ76))&gt;0</formula>
    </cfRule>
    <cfRule type="containsText" dxfId="75" priority="4629" operator="containsText" text="[adv]">
      <formula>NOT(ISERROR(SEARCH("[adv]",AJ76)))</formula>
    </cfRule>
  </conditionalFormatting>
  <conditionalFormatting sqref="AJ84:AJ90">
    <cfRule type="notContainsBlanks" dxfId="74" priority="9039">
      <formula>LEN(TRIM(AJ84))&gt;0</formula>
    </cfRule>
  </conditionalFormatting>
  <conditionalFormatting sqref="AJ92:AJ98">
    <cfRule type="notContainsBlanks" dxfId="73" priority="9028">
      <formula>LEN(TRIM(AJ92))&gt;0</formula>
    </cfRule>
  </conditionalFormatting>
  <conditionalFormatting sqref="AJ100:AJ106 AJ108:AJ114 AJ116:AJ122">
    <cfRule type="notContainsBlanks" dxfId="72" priority="8978">
      <formula>LEN(TRIM(AJ100))&gt;0</formula>
    </cfRule>
  </conditionalFormatting>
  <conditionalFormatting sqref="AJ124:AJ130 AJ132:AJ138 AJ140:AJ146">
    <cfRule type="notContainsBlanks" dxfId="71" priority="8907">
      <formula>LEN(TRIM(AJ124))&gt;0</formula>
    </cfRule>
  </conditionalFormatting>
  <conditionalFormatting sqref="AJ148:AJ154 AJ156:AJ162 AJ164:AJ170">
    <cfRule type="notContainsBlanks" dxfId="70" priority="8837">
      <formula>LEN(TRIM(AJ148))&gt;0</formula>
    </cfRule>
  </conditionalFormatting>
  <conditionalFormatting sqref="AJ172:AJ178 AJ180:AJ186 AJ188:AJ194 AJ196:AJ202">
    <cfRule type="notContainsBlanks" dxfId="69" priority="8752">
      <formula>LEN(TRIM(AJ172))&gt;0</formula>
    </cfRule>
  </conditionalFormatting>
  <conditionalFormatting sqref="AJ204:AJ210 AJ212:AJ218 AJ220:AJ226 AJ228:AJ234">
    <cfRule type="notContainsBlanks" dxfId="68" priority="8660">
      <formula>LEN(TRIM(AJ204))&gt;0</formula>
    </cfRule>
  </conditionalFormatting>
  <conditionalFormatting sqref="AJ236:AJ242 AJ244:AJ250 AJ252:AJ258 AJ260:AJ266">
    <cfRule type="notContainsBlanks" dxfId="67" priority="8568">
      <formula>LEN(TRIM(AJ236))&gt;0</formula>
    </cfRule>
  </conditionalFormatting>
  <conditionalFormatting sqref="AJ268:AJ274 AJ276:AJ282 AJ284:AJ290 AJ292:AJ298">
    <cfRule type="notContainsBlanks" dxfId="66" priority="8476">
      <formula>LEN(TRIM(AJ268))&gt;0</formula>
    </cfRule>
  </conditionalFormatting>
  <conditionalFormatting sqref="AJ300:AJ306 AJ308:AJ314 AJ316:AJ322 AJ324:AJ330">
    <cfRule type="notContainsBlanks" dxfId="65" priority="8384">
      <formula>LEN(TRIM(AJ300))&gt;0</formula>
    </cfRule>
  </conditionalFormatting>
  <conditionalFormatting sqref="AJ332:AJ338 AJ340:AJ346 AJ348:AJ354 AJ356:AJ362">
    <cfRule type="notContainsBlanks" dxfId="64" priority="8292">
      <formula>LEN(TRIM(AJ332))&gt;0</formula>
    </cfRule>
  </conditionalFormatting>
  <conditionalFormatting sqref="AJ364:AJ370 AJ372:AJ378 AJ380:AJ386 AJ388:AJ394">
    <cfRule type="notContainsBlanks" dxfId="63" priority="8200">
      <formula>LEN(TRIM(AJ364))&gt;0</formula>
    </cfRule>
  </conditionalFormatting>
  <conditionalFormatting sqref="AJ421:AJ456">
    <cfRule type="notContainsBlanks" dxfId="62" priority="9263">
      <formula>LEN(TRIM(AJ421))&gt;0</formula>
    </cfRule>
  </conditionalFormatting>
  <conditionalFormatting sqref="AK1:AK2 Y1:Y2 M1:M2">
    <cfRule type="notContainsBlanks" dxfId="61" priority="6003">
      <formula>LEN(TRIM(M1))&gt;0</formula>
    </cfRule>
  </conditionalFormatting>
  <conditionalFormatting sqref="AK3:AK75 M3:M75 AK83:AK1048576 Y83:Y1048576 M83:M1048576 Y3:Y74">
    <cfRule type="notContainsBlanks" dxfId="60" priority="9067">
      <formula>LEN(TRIM(M3))&gt;0</formula>
    </cfRule>
  </conditionalFormatting>
  <conditionalFormatting sqref="AK76:AK82">
    <cfRule type="notContainsBlanks" dxfId="59" priority="4603">
      <formula>LEN(TRIM(AK76))&gt;0</formula>
    </cfRule>
  </conditionalFormatting>
  <conditionalFormatting sqref="AL1:AL2">
    <cfRule type="notContainsBlanks" dxfId="58" priority="6005">
      <formula>LEN(TRIM(AL1))&gt;0</formula>
    </cfRule>
  </conditionalFormatting>
  <conditionalFormatting sqref="AL4:AL10">
    <cfRule type="notContainsBlanks" dxfId="57" priority="8017">
      <formula>LEN(TRIM(AL4))&gt;0</formula>
    </cfRule>
  </conditionalFormatting>
  <conditionalFormatting sqref="AL12:AL18">
    <cfRule type="notContainsBlanks" dxfId="56" priority="9140">
      <formula>LEN(TRIM(AL12))&gt;0</formula>
    </cfRule>
  </conditionalFormatting>
  <conditionalFormatting sqref="AL20:AL26">
    <cfRule type="notContainsBlanks" dxfId="55" priority="9150">
      <formula>LEN(TRIM(AL20))&gt;0</formula>
    </cfRule>
  </conditionalFormatting>
  <conditionalFormatting sqref="AL28:AL34">
    <cfRule type="notContainsBlanks" dxfId="54" priority="9160">
      <formula>LEN(TRIM(AL28))&gt;0</formula>
    </cfRule>
  </conditionalFormatting>
  <conditionalFormatting sqref="AL36:AL42">
    <cfRule type="notContainsBlanks" dxfId="53" priority="9170">
      <formula>LEN(TRIM(AL36))&gt;0</formula>
    </cfRule>
  </conditionalFormatting>
  <conditionalFormatting sqref="AL76:AL82">
    <cfRule type="containsText" dxfId="52" priority="4590" operator="containsText" text="[pluk]">
      <formula>NOT(ISERROR(SEARCH("[pluk]",AL76)))</formula>
    </cfRule>
    <cfRule type="cellIs" dxfId="51" priority="4591" operator="equal">
      <formula>"_"</formula>
    </cfRule>
    <cfRule type="timePeriod" dxfId="50" priority="4592" timePeriod="thisMonth">
      <formula>AND(MONTH(AL76)=MONTH(TODAY()),YEAR(AL76)=YEAR(TODAY()))</formula>
    </cfRule>
    <cfRule type="notContainsBlanks" dxfId="49" priority="4593">
      <formula>LEN(TRIM(AL76))&gt;0</formula>
    </cfRule>
    <cfRule type="cellIs" dxfId="48" priority="4594" operator="equal">
      <formula>"ID+"</formula>
    </cfRule>
    <cfRule type="cellIs" dxfId="47" priority="4595" operator="equal">
      <formula>"HK*"</formula>
    </cfRule>
    <cfRule type="cellIs" dxfId="46" priority="4596" operator="equal">
      <formula>"HK"</formula>
    </cfRule>
    <cfRule type="cellIs" dxfId="45" priority="4597" operator="equal">
      <formula>"HK+"</formula>
    </cfRule>
    <cfRule type="cellIs" dxfId="44" priority="4598" operator="equal">
      <formula>"ID"</formula>
    </cfRule>
    <cfRule type="cellIs" dxfId="43" priority="4599" operator="equal">
      <formula>"ID*"</formula>
    </cfRule>
    <cfRule type="notContainsBlanks" dxfId="42" priority="4600">
      <formula>LEN(TRIM(AL76))&gt;0</formula>
    </cfRule>
    <cfRule type="notContainsBlanks" dxfId="41" priority="4601">
      <formula>LEN(TRIM(AL76))&gt;0</formula>
    </cfRule>
    <cfRule type="containsText" dxfId="40" priority="4602" operator="containsText" text="[adv]">
      <formula>NOT(ISERROR(SEARCH("[adv]",AL76)))</formula>
    </cfRule>
  </conditionalFormatting>
  <conditionalFormatting sqref="AL84:AL90">
    <cfRule type="notContainsBlanks" dxfId="39" priority="9038">
      <formula>LEN(TRIM(AL84))&gt;0</formula>
    </cfRule>
  </conditionalFormatting>
  <conditionalFormatting sqref="AL92:AL98">
    <cfRule type="notContainsBlanks" dxfId="38" priority="9027">
      <formula>LEN(TRIM(AL92))&gt;0</formula>
    </cfRule>
  </conditionalFormatting>
  <conditionalFormatting sqref="AL100:AL106 AL108:AL114 AL116:AL122">
    <cfRule type="notContainsBlanks" dxfId="37" priority="8977">
      <formula>LEN(TRIM(AL100))&gt;0</formula>
    </cfRule>
  </conditionalFormatting>
  <conditionalFormatting sqref="AL124:AL130 AL132:AL138 AL140:AL146">
    <cfRule type="notContainsBlanks" dxfId="36" priority="8906">
      <formula>LEN(TRIM(AL124))&gt;0</formula>
    </cfRule>
  </conditionalFormatting>
  <conditionalFormatting sqref="AL140:AL146">
    <cfRule type="cellIs" dxfId="35" priority="8886" operator="equal">
      <formula>"ID+"</formula>
    </cfRule>
    <cfRule type="cellIs" dxfId="34" priority="8887" operator="equal">
      <formula>"HK*"</formula>
    </cfRule>
    <cfRule type="cellIs" dxfId="33" priority="8888" operator="equal">
      <formula>"HK"</formula>
    </cfRule>
    <cfRule type="cellIs" dxfId="32" priority="8889" operator="equal">
      <formula>"HK+"</formula>
    </cfRule>
    <cfRule type="cellIs" dxfId="31" priority="8890" operator="equal">
      <formula>"ID"</formula>
    </cfRule>
    <cfRule type="cellIs" dxfId="30" priority="8891" operator="equal">
      <formula>"ID*"</formula>
    </cfRule>
  </conditionalFormatting>
  <conditionalFormatting sqref="AL148:AL154 AL140:AL146 AL156:AL162 AL164:AL170">
    <cfRule type="notContainsBlanks" dxfId="29" priority="8836">
      <formula>LEN(TRIM(AL140))&gt;0</formula>
    </cfRule>
  </conditionalFormatting>
  <conditionalFormatting sqref="AL172:AL178 AL180:AL186 AL188:AL194 AL196:AL202">
    <cfRule type="notContainsBlanks" dxfId="28" priority="8751">
      <formula>LEN(TRIM(AL172))&gt;0</formula>
    </cfRule>
  </conditionalFormatting>
  <conditionalFormatting sqref="AL204:AL210 AL212:AL218 AL220:AL226 AL228:AL234">
    <cfRule type="notContainsBlanks" dxfId="27" priority="8659">
      <formula>LEN(TRIM(AL204))&gt;0</formula>
    </cfRule>
  </conditionalFormatting>
  <conditionalFormatting sqref="AL236:AL242 AL244:AL250 AL252:AL258 AL260:AL266">
    <cfRule type="notContainsBlanks" dxfId="26" priority="8567">
      <formula>LEN(TRIM(AL236))&gt;0</formula>
    </cfRule>
  </conditionalFormatting>
  <conditionalFormatting sqref="AL268:AL274 AL276:AL282 AL284:AL290 AL292:AL298">
    <cfRule type="notContainsBlanks" dxfId="25" priority="8475">
      <formula>LEN(TRIM(AL268))&gt;0</formula>
    </cfRule>
  </conditionalFormatting>
  <conditionalFormatting sqref="AL300:AL306 AL308:AL314 AL316:AL322 AL324:AL330">
    <cfRule type="notContainsBlanks" dxfId="24" priority="8383">
      <formula>LEN(TRIM(AL300))&gt;0</formula>
    </cfRule>
  </conditionalFormatting>
  <conditionalFormatting sqref="AL332:AL338 AL340:AL346 AL348:AL354 AL356:AL362">
    <cfRule type="notContainsBlanks" dxfId="23" priority="8291">
      <formula>LEN(TRIM(AL332))&gt;0</formula>
    </cfRule>
  </conditionalFormatting>
  <conditionalFormatting sqref="AL364:AL370 AL372:AL378 AL380:AL386 AL388:AL394">
    <cfRule type="notContainsBlanks" dxfId="22" priority="8199">
      <formula>LEN(TRIM(AL364))&gt;0</formula>
    </cfRule>
  </conditionalFormatting>
  <conditionalFormatting sqref="AL421:AL456">
    <cfRule type="notContainsBlanks" dxfId="21" priority="9262">
      <formula>LEN(TRIM(AL421))&gt;0</formula>
    </cfRule>
  </conditionalFormatting>
  <conditionalFormatting sqref="E27 P35 P43 P51 P59 P67 P75 P83 P91 P99 P107 P115 P123 P131 P139 P147 P155 P163 P171 P179 P187 P195 P203 P211 P219 P227 P235 P243 P251 P259 P267 P275 P283 P291 P299 P307 P315 P323 P331 P339 P347 P355 P363 P371 P379 P387 P395 P403 P411 P419 E420:E1048576 P420:Q1048576 AB420:AC1048576">
    <cfRule type="cellIs" dxfId="20" priority="9407" operator="equal">
      <formula>"HK+"</formula>
    </cfRule>
    <cfRule type="cellIs" dxfId="19" priority="9409" operator="equal">
      <formula>"ID*"</formula>
    </cfRule>
  </conditionalFormatting>
  <conditionalFormatting sqref="G168 F13:G13 G96:H97 J111:L111 AG148:AG154 AG190:AG194 U388:U394 N3:N75 Z3:Z75 U3:X69 AH3:AJ75 AL3:AL75 U76:U82 I76:I82 I83:L110 AG156:AG162 AG164:AG170 AG172:AG178 AG180:AG186 AG188 AG196:AG202 AG204:AG210 AG212:AG218 AG220:AG226 AG228:AG234 AG236:AG242 AG244:AG250 AG252:AG258 AG260:AG266 AG268:AG274 AG276:AG282 AG284:AG290 AG292:AG298 AG300:AG306 AG308:AG314 AG316:AG322 AG324:AG330 AG332:AG338 AG340:AG346 AG348:AG354 AG356:AG362 AG364:AG370 AG372:AG378 AG380:AG386 AG388:AG394 AG396:AG402 U396:U402 U404:U410 AG404:AG410 AG412:AG424 U412:U424 V83:X444 I112:L424 N83:N444 Z83:Z444 AH83:AJ444 AL83:AL444 I3:L75 V70:X75">
    <cfRule type="timePeriod" dxfId="18" priority="8089" timePeriod="thisMonth">
      <formula>AND(MONTH(F3)=MONTH(TODAY()),YEAR(F3)=YEAR(TODAY()))</formula>
    </cfRule>
  </conditionalFormatting>
  <conditionalFormatting sqref="AN14:XFD16">
    <cfRule type="containsText" dxfId="17" priority="7893" operator="containsText" text="[pluk]">
      <formula>NOT(ISERROR(SEARCH("[pluk]",AN14)))</formula>
    </cfRule>
  </conditionalFormatting>
  <conditionalFormatting sqref="F14:G14">
    <cfRule type="containsText" dxfId="16" priority="8096" operator="containsText" text="[adv]">
      <formula>NOT(ISERROR(SEARCH("[adv]",F14)))</formula>
    </cfRule>
  </conditionalFormatting>
  <conditionalFormatting sqref="Q68:Q74 S68 Q75:X75 AB86:AC86 AE54:AJ58 AE60:AJ66 S141 AE109:AJ114 AC136:AC138 AE136:AJ138 AB126:AC127 AD59:AJ59 S65 F67:L67 Q67:X67 AD67:AJ67 AE68:AJ74 AD75:AJ75 AC30:AC82 Q62:Q66 F75:L75 G90 G98 G100:G104 G106 U62:X66 U76 S84:S85 U84:X90 U92:X98 S92 G92:G93 Q84:Q90 AC84:AC85 Q83:X83 AC83:AJ83 F83:L83 Q92:Q98 Q91:X91 AC91:AJ91 F91:L91 Q100 Q99:X99 AC99:AJ99 F99:L99 G108:G109 Q107:X107 AC107:AJ107 F107:L107 AE116:AJ122 Q115:X115 AC115:AJ115 F115:L115 AE124:AJ130 Q123:X123 AC123:AJ123 F123:L123 AE132:AJ134 Q131:X131 AC131:AJ131 F131:L131 AE140:AJ146 AC140:AC146 Q139:X139 AC139:AJ139 F139:L139 Q147:X147 AC147:AJ147 F147:L147 Q155:X155 AC155:AJ155 F155:L155 Q163:X163 AC163:AJ163 F163:L163 Q171:X171 AC171:AJ171 F171:L171 Q179:X179 AC179:AJ179 F179:L179 Q187:X187 AC187:AJ187 F187:L187 Q195:X195 AC195:AJ195 F195:L195 Q203:X203 AC203:AJ203 F203:L203 Q211:X211 AC211:AJ211 F211:L211 Q219:X219 AC219:AJ219 F219:L219 Q227:X227 AC227:AJ227 F227:L227 Q235:X235 AC235:AJ235 F235:L235 Q243:X243 AC243:AJ243 F243:L243 Q251:X251 AC251:AJ251 F251:L251 Q259:X259 AC259:AJ259 F259:L259 Q267:X267 AC267:AJ267 F267:L267 Q275:X275 AC275:AJ275 F275:L275 Q283:X283 AC283:AJ283 F283:L283 Q291:X291 AC291:AJ291 F291:L291 Q299:X299 AC299:AJ299 F299:L299 Q307:X307 AC307:AJ307 F307:L307 Q315:X315 AC315:AJ315 F315:L315 Q323:X323 AC323:AJ323 F323:L323 Q331:X331 AC331:AJ331 F331:L331 Q339:X339 AC339:AJ339 F339:L339 Q347:X347 AC347:AJ347 F347:L347 Q355:X355 AC355:AJ355 F355:L355 Q363:X363 AC363:AJ363 F363:L363 Q371:X371 AC371:AJ371 F371:L371 Q379:X379 AC379:AJ379 F379:L379 Q387:X387 AC387:AJ387 F387:L387 Q395:X395 AC395:AJ395 F395:L395 Q403:X403 AC403:AJ403 F403:L403 Q411:X411 AC411:AJ411 F411:L411 I69:L70 S72 I74:L74 G63:L66 AE77:AG82 U68:X74 S88 AG76 S90 S94:S98">
    <cfRule type="cellIs" dxfId="15" priority="7642" operator="equal">
      <formula>"_"</formula>
    </cfRule>
  </conditionalFormatting>
  <conditionalFormatting sqref="G161:H161">
    <cfRule type="containsText" dxfId="14" priority="7244" operator="containsText" text="[pluk]">
      <formula>NOT(ISERROR(SEARCH("[pluk]",G161)))</formula>
    </cfRule>
  </conditionalFormatting>
  <conditionalFormatting sqref="G161:H161">
    <cfRule type="cellIs" dxfId="13" priority="7245" operator="equal">
      <formula>"_"</formula>
    </cfRule>
  </conditionalFormatting>
  <conditionalFormatting sqref="AN12:XFD13">
    <cfRule type="containsText" dxfId="12" priority="7794" operator="containsText" text="[adv]">
      <formula>NOT(ISERROR(SEARCH("[adv]",AN12)))</formula>
    </cfRule>
  </conditionalFormatting>
  <conditionalFormatting sqref="AN14:XFD16">
    <cfRule type="cellIs" dxfId="11" priority="7894" operator="equal">
      <formula>"_"</formula>
    </cfRule>
  </conditionalFormatting>
  <conditionalFormatting sqref="AN12:XFD13">
    <cfRule type="containsText" dxfId="10" priority="7795" operator="containsText" text="[pluk]">
      <formula>NOT(ISERROR(SEARCH("[pluk]",AN12)))</formula>
    </cfRule>
    <cfRule type="cellIs" dxfId="9" priority="7796" operator="equal">
      <formula>"_"</formula>
    </cfRule>
  </conditionalFormatting>
  <conditionalFormatting sqref="U4:X4 AG4:AJ5 Z4:AA75 R5:X5 U6:X9 AE6:AJ10 S8:S9 C10:D10 I10:L10 S10:X10 C11:L11 R11:X11 AD11:AJ11 U12:X15 I12:L17 AE12:AJ18 F13:G13 F15:G15 AC15:AC29 D18 G18:L18 C19:D19 F19:L19 AD19:AJ19 AO20:XFD24 I20:L26 AE20:AJ26 AL4:AM75 AN21:AN24 F22:G23 G25:H26 D26 U26:X26 C27:L27 R27:X27 AD27:AJ27 AE28:AJ34 D34 C35:D35 P35:X35 AD35:AJ35 Q36:Q40 AC38 U41:X41 D42 C43:D43 AD43:AJ43 AE44:AJ46 AE47:AE48 AG47:AJ48 AE49:AJ50 D50 P50:P51 C51:D51 AD51:AJ51 AE52:AJ52 Q52:Q53 U52:X53 AE53 AG53:AJ53 D58 P58:P59 C59:D59 D66 P66:P67 C67:D67 I72:L73 D74 P74:P75 C75:D75 AA76:AA82 AM76:AM82 H81 D82 I79:I82 H84:L85 I86:L87 H88:L88 I89:L89 D90 I94:L97 G96:H97 D98 H98:L98 Q101 S101 S104:S106 I105:L105 D106 H106:L106 I109:L110 D114 I119:L119 I120 U120:X120 D122 AN127:XFD127 I127:L128 G128:H128 D130 I132:L132 G133:L133 I134:L135 I137:L137 D138 D146 U148:X150 I149:L149 G150:L150 I151:L152 D154 S156 I156:L159 G160:L160 I161:L161 D162 G166:H166 G167 I168:L168 D170 I174:L174 H175:L175 I176:L177 D178 H178:L178 I180:L180 I182:L184 G184 G185:L186 G189:G190 I189:L193 G193:H193 G194:L194 I198:L198 G199:L199 I200:L201 A213 I217:L217 G218 G222:G226 H225 H233 G239:G242 H245 A248 H253 H256 H265 G270:H270 A284:A290 G288:H288 G292:H293 G295:H298 G302:H302 G303:G306 G311:H314 A318 G333:H333 G340:H346 A353 D354 G356:H356 G357 G358:H360 G361 G362:H362 G372 G374:H374 G376:H378 A388:A394 G392 G393:H394 P419 E420:G420 N420:X1048576 Z420:AJ1048576 C421:L1048576 C12:C18 C20:C26 C28:C34 C36:C42 C44:C50 C52:C58 C60:C66 C68:C74 C76:C82 C84:C90 C92:C98 C100:C106 C108:C114 C116:C122 C124:C130 C132:C138 C140:C146 C148:C154 C156:C162 C164:C170 C172:C176 H192 S32:X34 S36:X40 U100:X106 H90:L90 P82:P83 C83:D83 P90:P91 C91:D91 P99 C99:D99 U108:X113 P107 C107:D107 P115 C115:D115 P123 C123:D123 P131 C131:D131 P139 C139:D139 AL83:AM147 P147 C147:D147 AL155:AM155 P155 C155:D155 AL163:AM163 P163 C163:D163 AL171:AM171 P171 C171:D171 AL179:AM179 P179 C179:D179 G188:L188 AL187:AM187 P187 C187:D187 G196:L197 AL195:AM195 P195 C195:D195 AL203:AM203 P203 C203:D203 AL211:AM211 P211 C211:D211 G220 AL219:AM219 P219 C219:D219 G228:G234 AL227:AM227 P227 C227:D227 G236:G237 AL235:AM235 P235 C235:D235 G244:G250 AL243:AM243 P243 C243:D243 G252:G258 AL251:AM251 P251 C251:D251 G260:G266 AL259:AM259 P259 C259:D259 G268:G269 AL267:AM267 P267 C267:D267 AL275:AM275 P275 C275:D275 AL283:AM283 P283 C283:D283 AL291:AM291 P291 C291:D291 AL299:AM299 P299 C299:D299 G308:H309 AL307:AM307 P307 C307:D307 AL315:AM315 P315 C315:D315 AL323:AM323 P323 C323:D323 AL331:AM331 P331 C331:D331 AL339:AM339 P339 C339:D339 AL347:AM347 P347 C347:D347 AL355:AM355 P355 C355:D355 AL363:AM363 P363 C363:D363 AL371:AM371 P371 C371:D371 AL379:AM379 P379 C379:D379 AL387:AM387 P387 C387:D387 AL395:AM395 P395 C395:D395 AL403:AM403 P403 C403:D403 Z83:AA419 AL411:AM411 P411 C411:D411 Q4:Q34 U28:X31 AE36:AJ42 P42:P44 H92:L93 H100:L100 H108:L108 L74">
    <cfRule type="cellIs" dxfId="8" priority="9411" operator="equal">
      <formula>"_"</formula>
    </cfRule>
  </conditionalFormatting>
  <conditionalFormatting sqref="B178">
    <cfRule type="containsText" dxfId="7" priority="6034" operator="containsText" text="[pluk]">
      <formula>NOT(ISERROR(SEARCH("[pluk]",B178)))</formula>
    </cfRule>
  </conditionalFormatting>
  <conditionalFormatting sqref="D12:D17 AN17:XFD18 AN97:XFD123">
    <cfRule type="cellIs" dxfId="6" priority="5096" operator="equal">
      <formula>"_"</formula>
    </cfRule>
  </conditionalFormatting>
  <conditionalFormatting sqref="D12:D17 AN17:XFD18 AN97:XFD123">
    <cfRule type="containsText" dxfId="5" priority="5095" operator="containsText" text="[pluk]">
      <formula>NOT(ISERROR(SEARCH("[pluk]",D12)))</formula>
    </cfRule>
  </conditionalFormatting>
  <conditionalFormatting sqref="B178">
    <cfRule type="cellIs" dxfId="4" priority="6035" operator="equal">
      <formula>"_"</formula>
    </cfRule>
  </conditionalFormatting>
  <conditionalFormatting sqref="AN20">
    <cfRule type="containsText" dxfId="3" priority="7932" operator="containsText" text="[adv]">
      <formula>NOT(ISERROR(SEARCH("[adv]",AN20)))</formula>
    </cfRule>
    <cfRule type="containsText" dxfId="2" priority="7933" operator="containsText" text="[pluk]">
      <formula>NOT(ISERROR(SEARCH("[pluk]",AN20)))</formula>
    </cfRule>
    <cfRule type="cellIs" dxfId="1" priority="7934" operator="equal">
      <formula>"_"</formula>
    </cfRule>
  </conditionalFormatting>
  <conditionalFormatting sqref="AN14:XFD16">
    <cfRule type="containsText" dxfId="0" priority="7892" operator="containsText" text="[adv]">
      <formula>NOT(ISERROR(SEARCH("[adv]",AN14)))</formula>
    </cfRule>
  </conditionalFormatting>
  <dataValidations count="2">
    <dataValidation type="list" allowBlank="1" showInputMessage="1" showErrorMessage="1" sqref="R7:R10 R31:R34 R36:R42 F49:F50 Q76:R82 F84:F90 R84:R90 F72:F74 F53:F54 F64:F66 R44:R47 R49:R50 F45 AD412:AD418 F37 F412:F418 F24:F25 R16:R18 F28 AD4:AD10 AD12:AD18 AD20:AD26 AD28:AD34 AD36:AD42 AD44:AD50 AD52:AD58 AD60:AD66 AD68:AD74 R60:R66 R52:R58 F40:F41 R20:R21 R23:R26 F308:F314 R412:R418 F124:F130 AD76:AD82 AD84:AD90 F80:F82 R68:R74 AD92:AD98 AD100:AD106 R100:R106 F92:F98 F100:F106 AD108:AD114 R108:R114 R116:R122 F108:F114 AD116:AD122 AD124:AD130 R124:R130 F116:F122 F132:F138 AD132:AD138 R132:R138 R140:R146 F140:F146 AD140:AD146 AD148:AD154 R148:R154 F148:F154 F156:F162 AD156:AD162 R156:R162 R164:R170 F164:F170 AD164:AD170 AD172:AD178 R172:R178 F172:F178 F180:F186 AD180:AD186 R180:R186 R188:R194 F188:F194 AD188:AD194 AD196:AD202 R196:R202 F196:F202 F204:F210 AD204:AD210 R204:R210 R212:R218 F212:F218 AD212:AD218 AD220:AD226 R220:R226 F220:F226 F228:F234 AD228:AD234 R228:R234 R236:R242 F236:F242 AD236:AD242 AD244:AD250 R244:R250 F244:F250 F252:F258 AD252:AD258 R252:R258 R260:R266 F260:F266 AD260:AD266 AD268:AD274 R268:R274 F268:F274 F276:F282 AD276:AD282 R276:R282 R284:R290 F284:F290 AD284:AD290 AD292:AD298 R292:R298 F292:F298 F300:F306 AD300:AD306 R300:R306 R308:R314 AD308:AD314 AD316:AD322 R316:R322 F317:F322 F324:F330 AD324:AD330 R324:R330 R332:R338 F332:F338 AD332:AD338 AD340:AD346 R340:R346 F340:F346 F348:F354 AD348:AD354 R348:R354 R356:R362 F356:F362 AD356:AD362 AD364:AD370 R364:R370 F364:F370 F372:F378 AD372:AD378 R372:R378 R380:R386 F380:F386 AD380:AD386 AD388:AD394 R388:R394 F388:F394 F396:F402 AD396:AD402 R396:R402 R404:R410 F404:F410 AD404:AD410 R29 F57:F58 F60:F62 F68:F70 F76 R92:R98" xr:uid="{8F72825E-997F-DA49-B760-566C7449DAB8}">
      <formula1>"Inspiratie,Biodiversiteit,Kamerplanten,Kweken,Moestuin,Snoeien,Tuinklussen,Partnerbijdrage,Reviews,Hub,RERUN,TV-pagina"</formula1>
    </dataValidation>
    <dataValidation type="list" allowBlank="1" showErrorMessage="1" sqref="R4:R6 R22 R12:R15 R30 R28 R48" xr:uid="{0A053528-0FDD-1241-B6B0-26041C67A58C}">
      <formula1>"Inspiratie,Biodiversiteit,Kamerplanten,Kweken,Moestuin,Snoeien,Tuinklussen,Partnerbijdrage,Reviews,Hub,RERUN,TV-pagina"</formula1>
    </dataValidation>
  </dataValidations>
  <hyperlinks>
    <hyperlink ref="T4" r:id="rId1" xr:uid="{96E5D9F3-8E1A-DB4B-992D-9B5A0B0E0628}"/>
    <hyperlink ref="T12" r:id="rId2" xr:uid="{8FE91F43-A864-0749-8195-02CE3BE0B5EE}"/>
    <hyperlink ref="T13" r:id="rId3" xr:uid="{135CA97F-99F7-CE48-9414-C430CC7A91A2}"/>
    <hyperlink ref="T10" r:id="rId4" xr:uid="{387B0FDB-8FFF-1B42-8517-BB7D8C392864}"/>
    <hyperlink ref="AF4" r:id="rId5" xr:uid="{FCC7E2B0-A453-8245-8AA8-09207919F706}"/>
    <hyperlink ref="H17" r:id="rId6" xr:uid="{8FDC211A-FA3E-B44C-AF5D-18E66EF88203}"/>
    <hyperlink ref="H10" r:id="rId7" xr:uid="{47362821-A84A-FD4B-AE85-42AC41A59B84}"/>
    <hyperlink ref="H5" r:id="rId8" xr:uid="{80544D16-18A9-4941-8B8D-E5FF452DE8D4}"/>
    <hyperlink ref="T5" r:id="rId9" xr:uid="{75CE128E-21D6-9048-BDA4-0E9082D3275A}"/>
    <hyperlink ref="T18" r:id="rId10" xr:uid="{34A131FB-B659-EC48-B5E3-60FE562ACE22}"/>
    <hyperlink ref="AF13" r:id="rId11" xr:uid="{0D1B06BB-861A-CA45-995C-C0781CF28A07}"/>
    <hyperlink ref="AF20" r:id="rId12" xr:uid="{6B2E2F25-5236-AD4C-BE65-E27A2B47F7A6}"/>
    <hyperlink ref="H13" r:id="rId13" display="Annes moestuintips" xr:uid="{B2048734-2BAF-0749-8D83-49423D6A6B6B}"/>
    <hyperlink ref="H14" r:id="rId14" xr:uid="{7107B470-FD90-F340-8201-AD218BF76307}"/>
    <hyperlink ref="T14" r:id="rId15" xr:uid="{E593DE06-D81A-5D4A-A083-85030CA0024D}"/>
    <hyperlink ref="H316" r:id="rId16" xr:uid="{9C18844D-7C55-2D42-9531-A9ED40E0F99A}"/>
    <hyperlink ref="H18" r:id="rId17" xr:uid="{4436200D-40B1-0744-ADA2-CAA8CEF574EA}"/>
    <hyperlink ref="H21" r:id="rId18" xr:uid="{FA7E9F46-C219-2946-8481-2999FEE1B825}"/>
    <hyperlink ref="B29" r:id="rId19" xr:uid="{9782A84C-E1AA-204A-9F56-E266D4C5F3C5}"/>
    <hyperlink ref="H36" r:id="rId20" xr:uid="{D98E20D3-81EE-F647-9B44-BB3BAF72CE0F}"/>
    <hyperlink ref="H22" r:id="rId21" xr:uid="{2864A01B-3724-AB45-B5AB-D1B317D1504C}"/>
    <hyperlink ref="T22" r:id="rId22" xr:uid="{7F863E50-00E3-B246-892D-4E545D86D82D}"/>
    <hyperlink ref="AF21" r:id="rId23" xr:uid="{9ECE780B-ADBB-4E4D-8328-629170B0C694}"/>
    <hyperlink ref="T30" r:id="rId24" xr:uid="{51D23AE0-D398-5E4D-AEB0-A89E72BDC2D8}"/>
    <hyperlink ref="H30" r:id="rId25" xr:uid="{A3E6B1FC-786C-A748-85F1-33449DF24D46}"/>
    <hyperlink ref="H28" r:id="rId26" xr:uid="{D01B1BDF-43FD-954D-B6C3-89A2B97678EB}"/>
    <hyperlink ref="T34" r:id="rId27" xr:uid="{B7277CBC-02C3-0F49-BDC7-5A37B9E14E6F}"/>
    <hyperlink ref="H34" r:id="rId28" xr:uid="{4AC6DB0B-65E5-9343-B3CA-B8B7E4200908}"/>
    <hyperlink ref="T31" r:id="rId29" xr:uid="{9A1F1358-634A-1247-AC14-DF66FDAD403E}"/>
    <hyperlink ref="T32" r:id="rId30" xr:uid="{1D8A8237-8EC3-FD47-8723-CBDEAF54A7F0}"/>
    <hyperlink ref="T37" r:id="rId31" xr:uid="{67E2AC89-3ED4-1748-8FB6-41187C312FFC}"/>
    <hyperlink ref="H37" r:id="rId32" xr:uid="{A5240697-2441-FE48-ADDF-0FEA2F98AA73}"/>
    <hyperlink ref="AF36" r:id="rId33" xr:uid="{DD8B1949-2618-CE45-89B1-518A65D355E6}"/>
    <hyperlink ref="T40" r:id="rId34" xr:uid="{45F7BDC3-A5CD-4644-AEEF-126569DF015D}"/>
    <hyperlink ref="AF39" r:id="rId35" xr:uid="{7DB56B7A-F4E0-A940-8431-081906581F13}"/>
    <hyperlink ref="AF45" r:id="rId36" xr:uid="{7855F5B8-BDA7-B549-807B-AE561505ECD8}"/>
    <hyperlink ref="T57" r:id="rId37" xr:uid="{05E401A8-7D12-954D-9751-83A2721C325A}"/>
    <hyperlink ref="H45" r:id="rId38" xr:uid="{B03877EC-4BA1-D642-967F-8896A4F85DBC}"/>
    <hyperlink ref="H47" r:id="rId39" xr:uid="{7B8BA375-232D-3044-840A-CCDAC731D5ED}"/>
    <hyperlink ref="H56" r:id="rId40" xr:uid="{68373EE3-033B-E44D-BD4C-7EBFC8FC80DE}"/>
    <hyperlink ref="T58" r:id="rId41" xr:uid="{AC2F8EC6-E004-D346-9F5C-7E4BE67AB60B}"/>
    <hyperlink ref="H55" r:id="rId42" xr:uid="{18932E70-060C-EE4B-8DD0-EB6CFEFEE367}"/>
    <hyperlink ref="T52" r:id="rId43" xr:uid="{4B6AE5A2-D982-AE45-AC4C-7B5BE8466A60}"/>
    <hyperlink ref="H53" r:id="rId44" xr:uid="{5E6420AD-3925-4A4B-9651-8FFE3C004E3F}"/>
    <hyperlink ref="H58" r:id="rId45" xr:uid="{B780CACD-F3D6-9C4A-84FA-86941158F942}"/>
    <hyperlink ref="T62" r:id="rId46" xr:uid="{4F9B6812-608E-964F-B96F-2F7131A44290}"/>
    <hyperlink ref="H57" r:id="rId47" xr:uid="{8054FF9F-AB36-A74C-BC65-60BC256FDBA6}"/>
    <hyperlink ref="H48" r:id="rId48" xr:uid="{B6BDA2B2-1A0D-5243-9EF3-270CCCD2D7E1}"/>
    <hyperlink ref="H78" r:id="rId49" display="../../../../../:w:/s/SEO/IQChdADyaMtPRqVWr0KTiSvmATnrEFHN4RUAn3ia1nnf5m0?e=UqZsNJ" xr:uid="{74B59D77-AEBF-3B4E-BF28-1DB2FF115121}"/>
    <hyperlink ref="H64" r:id="rId50" display="https://www.gardenersworldmagazine.nl/groene-school/kamerplanten/schimmel-op-potgrond/" xr:uid="{92C6A2D7-8C11-1346-9834-7FA65999E6D8}"/>
    <hyperlink ref="H80" r:id="rId51" xr:uid="{50F1BCFE-47E1-6D45-85A5-CBB1186F3C6A}"/>
    <hyperlink ref="H66" r:id="rId52" xr:uid="{05E0FE4F-C6EA-8046-B232-D52C8EE10076}"/>
    <hyperlink ref="T74" r:id="rId53" xr:uid="{5151268C-EDB1-EF49-83AF-544CF5C0AE53}"/>
    <hyperlink ref="T80" r:id="rId54" xr:uid="{8782C97F-5C95-8A4B-9B07-1B1DC207DC53}"/>
    <hyperlink ref="H85" r:id="rId55" xr:uid="{EEFDE759-0F49-0F4E-918B-11790D934455}"/>
    <hyperlink ref="T85" r:id="rId56" xr:uid="{B38BD966-E84C-F749-BD52-20264D6DAF28}"/>
    <hyperlink ref="H63" r:id="rId57" xr:uid="{5D0842C3-486F-F842-A480-D3B065E59613}"/>
    <hyperlink ref="H71" r:id="rId58" xr:uid="{E36BBADE-4B4E-E44A-AA2A-A15437C6AFC5}"/>
    <hyperlink ref="T69" r:id="rId59" xr:uid="{A2889C7E-F3C6-9E44-B8EB-3ADEF5308620}"/>
    <hyperlink ref="T68" r:id="rId60" xr:uid="{6DA0EBB5-4BB0-1049-9CD2-51657E2610BE}"/>
    <hyperlink ref="H69" r:id="rId61" xr:uid="{58232D42-266E-354A-BDC4-5AC6E1933EB8}"/>
    <hyperlink ref="T87" r:id="rId62" display="../../../../../:w:/s/SEO/IQA0PexNoc8MQYFUpKgbdDBMAQnY0JbkqUd7WvX0eZFdUbc?e=QfwYKS" xr:uid="{7DD87FE7-E56D-6944-BE16-5F232DAFD05F}"/>
    <hyperlink ref="T88" r:id="rId63" xr:uid="{A447805D-548D-4947-A049-9C4C990DC82C}"/>
    <hyperlink ref="H72" r:id="rId64" xr:uid="{E944C7CF-F1B4-7E4C-834C-ABCED0392844}"/>
    <hyperlink ref="T66" r:id="rId65" xr:uid="{11E277EA-1093-1841-948D-D852CD5DC6F8}"/>
    <hyperlink ref="T71" r:id="rId66" xr:uid="{850059F3-53E4-C14F-89DA-CD7072D0D151}"/>
    <hyperlink ref="T89" r:id="rId67" xr:uid="{2FCA8EC5-1079-704B-BAFF-9573F4303C75}"/>
    <hyperlink ref="T78" r:id="rId68" xr:uid="{236C941E-44FA-A646-8DA1-2E092DDEF76D}"/>
    <hyperlink ref="AF78" r:id="rId69" xr:uid="{D52EB205-FE92-A246-A778-7F8FA86445F7}"/>
    <hyperlink ref="H73" r:id="rId70" xr:uid="{46570837-7312-1F4C-8758-A85D38FF96B5}"/>
    <hyperlink ref="T79" r:id="rId71" xr:uid="{96068145-7E32-9040-B74D-E3615451CEAA}"/>
    <hyperlink ref="AF81" r:id="rId72" xr:uid="{C826623A-D639-8543-92AD-889411802A2A}"/>
    <hyperlink ref="T81" r:id="rId73" xr:uid="{BB9FF4B3-FD26-BB41-8E8B-A592F8AA7825}"/>
    <hyperlink ref="AF80" r:id="rId74" xr:uid="{8E98167B-3FC4-594C-9DA9-8B0C55ACBC1B}"/>
    <hyperlink ref="H82" r:id="rId75" xr:uid="{295C6D8A-B3C7-FF4F-B69E-E48B7FF7E6F0}"/>
  </hyperlinks>
  <pageMargins left="0.7" right="0.7" top="0.75" bottom="0.75" header="0.3" footer="0.3"/>
  <pageSetup orientation="portrait" r:id="rId76"/>
  <legacyDrawing r:id="rId7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Website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Koen van Ekeren</dc:creator>
  <cp:lastModifiedBy>Koen van Ekeren</cp:lastModifiedBy>
  <dcterms:created xsi:type="dcterms:W3CDTF">2026-03-17T10:31:28Z</dcterms:created>
  <dcterms:modified xsi:type="dcterms:W3CDTF">2026-03-17T10:32:37Z</dcterms:modified>
</cp:coreProperties>
</file>